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ndrine\Desktop\GUARDIA\2025 2026 RESOURCES\JOB INTERVIEWS &amp; MORE\"/>
    </mc:Choice>
  </mc:AlternateContent>
  <bookViews>
    <workbookView xWindow="0" yWindow="0" windowWidth="18330" windowHeight="6405"/>
  </bookViews>
  <sheets>
    <sheet name="GU B2 (1)" sheetId="1" r:id="rId1"/>
    <sheet name="GU B2 (2)"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18" i="1" l="1"/>
  <c r="AE18" i="1"/>
  <c r="F18" i="1"/>
  <c r="G18" i="1"/>
  <c r="H18" i="1"/>
  <c r="I18" i="1"/>
  <c r="K18" i="1"/>
  <c r="J18" i="1" s="1"/>
  <c r="M18" i="1"/>
  <c r="L18" i="1" s="1"/>
  <c r="O18" i="1"/>
  <c r="N18" i="1" s="1"/>
  <c r="P18" i="1"/>
  <c r="Q18" i="1"/>
  <c r="S18" i="1"/>
  <c r="R18" i="1" s="1"/>
  <c r="U18" i="1"/>
  <c r="T18" i="1" s="1"/>
  <c r="W18" i="1"/>
  <c r="V18" i="1" s="1"/>
  <c r="Y18" i="1"/>
  <c r="Z18" i="1"/>
  <c r="AB18" i="1"/>
  <c r="AC18" i="1"/>
  <c r="AD18" i="1"/>
  <c r="AF18" i="1"/>
  <c r="AP18" i="2" l="1"/>
  <c r="AI17" i="2"/>
  <c r="AG17" i="2"/>
  <c r="AE17" i="2"/>
  <c r="AC17" i="2"/>
  <c r="AA17" i="2"/>
  <c r="Y17" i="2"/>
  <c r="W17" i="2"/>
  <c r="U17" i="2"/>
  <c r="S17" i="2"/>
  <c r="Q17" i="2"/>
  <c r="O17" i="2"/>
  <c r="M17" i="2"/>
  <c r="K17" i="2"/>
  <c r="I17" i="2"/>
  <c r="G17" i="2"/>
  <c r="AI16" i="2"/>
  <c r="AG16" i="2"/>
  <c r="AE16" i="2"/>
  <c r="AC16" i="2"/>
  <c r="AA16" i="2"/>
  <c r="Y16" i="2"/>
  <c r="W16" i="2"/>
  <c r="U16" i="2"/>
  <c r="S16" i="2"/>
  <c r="Q16" i="2"/>
  <c r="O16" i="2"/>
  <c r="M16" i="2"/>
  <c r="K16" i="2"/>
  <c r="I16" i="2"/>
  <c r="G16" i="2"/>
  <c r="AI15" i="2"/>
  <c r="AG15" i="2"/>
  <c r="AE15" i="2"/>
  <c r="AC15" i="2"/>
  <c r="AA15" i="2"/>
  <c r="Y15" i="2"/>
  <c r="W15" i="2"/>
  <c r="U15" i="2"/>
  <c r="S15" i="2"/>
  <c r="Q15" i="2"/>
  <c r="O15" i="2"/>
  <c r="M15" i="2"/>
  <c r="K15" i="2"/>
  <c r="I15" i="2"/>
  <c r="G15" i="2"/>
  <c r="AI14" i="2"/>
  <c r="AG14" i="2"/>
  <c r="AE14" i="2"/>
  <c r="AC14" i="2"/>
  <c r="AA14" i="2"/>
  <c r="Y14" i="2"/>
  <c r="W14" i="2"/>
  <c r="U14" i="2"/>
  <c r="S14" i="2"/>
  <c r="Q14" i="2"/>
  <c r="O14" i="2"/>
  <c r="M14" i="2"/>
  <c r="K14" i="2"/>
  <c r="I14" i="2"/>
  <c r="G14" i="2"/>
  <c r="AI13" i="2"/>
  <c r="AG13" i="2"/>
  <c r="AE13" i="2"/>
  <c r="AC13" i="2"/>
  <c r="AA13" i="2"/>
  <c r="Y13" i="2"/>
  <c r="W13" i="2"/>
  <c r="U13" i="2"/>
  <c r="S13" i="2"/>
  <c r="Q13" i="2"/>
  <c r="O13" i="2"/>
  <c r="M13" i="2"/>
  <c r="K13" i="2"/>
  <c r="I13" i="2"/>
  <c r="G13" i="2"/>
  <c r="AI12" i="2"/>
  <c r="AG12" i="2"/>
  <c r="AE12" i="2"/>
  <c r="AC12" i="2"/>
  <c r="AA12" i="2"/>
  <c r="Y12" i="2"/>
  <c r="W12" i="2"/>
  <c r="U12" i="2"/>
  <c r="S12" i="2"/>
  <c r="Q12" i="2"/>
  <c r="O12" i="2"/>
  <c r="M12" i="2"/>
  <c r="K12" i="2"/>
  <c r="I12" i="2"/>
  <c r="G12" i="2"/>
  <c r="AI18" i="2" l="1"/>
  <c r="AG18" i="2"/>
  <c r="AF18" i="2" s="1"/>
  <c r="AE18" i="2"/>
  <c r="AD18" i="2" s="1"/>
  <c r="AC18" i="2"/>
  <c r="AB18" i="2" s="1"/>
  <c r="AA18" i="2"/>
  <c r="Z18" i="2" s="1"/>
  <c r="Y18" i="2"/>
  <c r="X18" i="2" s="1"/>
  <c r="W18" i="2"/>
  <c r="V18" i="2" s="1"/>
  <c r="U18" i="2"/>
  <c r="T18" i="2" s="1"/>
  <c r="S18" i="2"/>
  <c r="Q18" i="2"/>
  <c r="P18" i="2" s="1"/>
  <c r="O18" i="2"/>
  <c r="N18" i="2" s="1"/>
  <c r="M18" i="2"/>
  <c r="K18" i="2"/>
  <c r="J18" i="2" s="1"/>
  <c r="I18" i="2"/>
  <c r="G18" i="2"/>
  <c r="G12" i="1"/>
  <c r="I12" i="1"/>
  <c r="K12" i="1"/>
  <c r="M12" i="1"/>
  <c r="O12" i="1"/>
  <c r="Q12" i="1"/>
  <c r="S12" i="1"/>
  <c r="U12" i="1"/>
  <c r="W12" i="1"/>
  <c r="Y12" i="1"/>
  <c r="Z12" i="1"/>
  <c r="AB12" i="1"/>
  <c r="AD12" i="1"/>
  <c r="AF12" i="1"/>
  <c r="G13" i="1"/>
  <c r="I13" i="1"/>
  <c r="K13" i="1"/>
  <c r="M13" i="1"/>
  <c r="O13" i="1"/>
  <c r="Q13" i="1"/>
  <c r="S13" i="1"/>
  <c r="U13" i="1"/>
  <c r="W13" i="1"/>
  <c r="Y13" i="1"/>
  <c r="Z13" i="1"/>
  <c r="AB13" i="1"/>
  <c r="AD13" i="1"/>
  <c r="AF13" i="1"/>
  <c r="G14" i="1"/>
  <c r="I14" i="1"/>
  <c r="K14" i="1"/>
  <c r="M14" i="1"/>
  <c r="O14" i="1"/>
  <c r="Q14" i="1"/>
  <c r="S14" i="1"/>
  <c r="U14" i="1"/>
  <c r="W14" i="1"/>
  <c r="Y14" i="1"/>
  <c r="Z14" i="1"/>
  <c r="AB14" i="1"/>
  <c r="AD14" i="1"/>
  <c r="AF14" i="1"/>
  <c r="G15" i="1"/>
  <c r="I15" i="1"/>
  <c r="K15" i="1"/>
  <c r="M15" i="1"/>
  <c r="O15" i="1"/>
  <c r="Q15" i="1"/>
  <c r="S15" i="1"/>
  <c r="U15" i="1"/>
  <c r="W15" i="1"/>
  <c r="Y15" i="1"/>
  <c r="Z15" i="1"/>
  <c r="AB15" i="1"/>
  <c r="AD15" i="1"/>
  <c r="AF15" i="1"/>
  <c r="G16" i="1"/>
  <c r="I16" i="1"/>
  <c r="K16" i="1"/>
  <c r="M16" i="1"/>
  <c r="O16" i="1"/>
  <c r="Q16" i="1"/>
  <c r="S16" i="1"/>
  <c r="U16" i="1"/>
  <c r="W16" i="1"/>
  <c r="Y16" i="1"/>
  <c r="Z16" i="1"/>
  <c r="AB16" i="1"/>
  <c r="AD16" i="1"/>
  <c r="AF16" i="1"/>
  <c r="G17" i="1"/>
  <c r="I17" i="1"/>
  <c r="K17" i="1"/>
  <c r="M17" i="1"/>
  <c r="O17" i="1"/>
  <c r="Q17" i="1"/>
  <c r="S17" i="1"/>
  <c r="U17" i="1"/>
  <c r="W17" i="1"/>
  <c r="Y17" i="1"/>
  <c r="Z17" i="1"/>
  <c r="AB17" i="1"/>
  <c r="AD17" i="1"/>
  <c r="AF17" i="1"/>
</calcChain>
</file>

<file path=xl/sharedStrings.xml><?xml version="1.0" encoding="utf-8"?>
<sst xmlns="http://schemas.openxmlformats.org/spreadsheetml/2006/main" count="440" uniqueCount="52">
  <si>
    <t>A</t>
  </si>
  <si>
    <t>5 points</t>
  </si>
  <si>
    <t>B</t>
  </si>
  <si>
    <t>4 points</t>
  </si>
  <si>
    <t>C</t>
  </si>
  <si>
    <t>2 points</t>
  </si>
  <si>
    <t>D</t>
  </si>
  <si>
    <t>1 point</t>
  </si>
  <si>
    <t>Calcul</t>
  </si>
  <si>
    <t>Promotion</t>
  </si>
  <si>
    <t>Enseignant</t>
  </si>
  <si>
    <t>AAV</t>
  </si>
  <si>
    <t>Note</t>
  </si>
  <si>
    <t>(B1) Peut conduire un entretien préparé, vérifier et confirmer les informations, bien qu’il lui soit parfois nécessaire de demander
de répéter si la réponse de l’interlocuteur est trop rapide ou trop développée.
Peut prendre certaines initiatives dans une consultation ou un entretien (par exemple introduire un sujet nouveau), mais
reste très dépendant de l’interviewer pour l’interaction</t>
  </si>
  <si>
    <t>(A2) Peut se faire comprendre dans un entretien et communiquer des idées et de l’information sur des sujets familiers à condition de pouvoir faire clarifier à l’occasion et d’être aidé pour exprimer ce qu’il/elle veut.</t>
  </si>
  <si>
    <t>(A1) Peut répondre, dans un entretien, à des questions personnelles simples posées très lentement et clairement dans une langue directe et non-idiomatique.</t>
  </si>
  <si>
    <t xml:space="preserve">(Pré A1) Peut poser des questions et répondre à des questions sur lui/elle-même et sur les habitudes quotidiennes, en utilisant des formules toutes faites courtes et en comptant sur les gestes pour renforcer l’information donnée.
</t>
  </si>
  <si>
    <r>
      <t xml:space="preserve">SITUATION:
Entretien d'embauche
</t>
    </r>
    <r>
      <rPr>
        <sz val="9"/>
        <rFont val="Calibri"/>
        <family val="2"/>
        <scheme val="minor"/>
      </rPr>
      <t>Critères pour l'évaluation: 
- Se présenter
- Présenter un profil personnel / professionnel
- Se baser sur une annonce
- Répondre aux questions de l'employeur
- Adopter un langage formel</t>
    </r>
  </si>
  <si>
    <t>Répond à tous les critères définis pour le livrable
Maîtrise la présentation de son profil</t>
  </si>
  <si>
    <t>Répond partiellement mais de manière acceptable aux critères définis pour le livrable.
Il peut manquer quelques aspects mais l'ensemble est cohérent avec le sujet du projet.
La présentation orale peut comporter quelques maladresses.</t>
  </si>
  <si>
    <t>Traite un nombre limité de critères définis pour le livrable.
Le traitement du sujet est partiel.
La présentation manque de cohérence ou de préparation.</t>
  </si>
  <si>
    <t xml:space="preserve">Les critères définis ne sont pas traités.
Hors sujet.
Attitude passive ou négative lors de l'oral.
</t>
  </si>
  <si>
    <t>Les consignes sont suivies à la lettre</t>
  </si>
  <si>
    <t>Le CV  est correct même si des libertés sont prises avec les consignes.</t>
  </si>
  <si>
    <t>Le résumé ne suit pas les consignes</t>
  </si>
  <si>
    <t>Le document n'est pas fourni ou est plagié</t>
  </si>
  <si>
    <r>
      <rPr>
        <sz val="11"/>
        <color theme="1"/>
        <rFont val="Calibri"/>
        <family val="2"/>
        <scheme val="minor"/>
      </rPr>
      <t>Niveau observé selon les descripteurs CECRL</t>
    </r>
    <r>
      <rPr>
        <b/>
        <sz val="11"/>
        <color theme="1"/>
        <rFont val="Calibri"/>
        <family val="2"/>
        <scheme val="minor"/>
      </rPr>
      <t xml:space="preserve">
INTERACTION ORALE GENERALE
Etre interviewé
</t>
    </r>
    <r>
      <rPr>
        <sz val="11"/>
        <color theme="1"/>
        <rFont val="Calibri"/>
        <family val="2"/>
        <scheme val="minor"/>
      </rPr>
      <t>Si niveau supérieur à l'objectif, spécifier:
[B2] [C1] [C2]</t>
    </r>
  </si>
  <si>
    <t>Utilise avec un certain naturel les structures étudiées dans le semestre; ses erreurs ne causent pas de quiproquos.
Le cas échéant, comprend qu'il/elle doit reproduire la structure employée dans les questions pour y répondre avec pertinence.</t>
  </si>
  <si>
    <t>Montre une certaine connaissance des structures étudiées.
Est parfois capable de s'autocorriger au cours de sa prise de parole.
Le cas échéant, reconnaît les structures à employer dans les questions et s'efforce de les reproduire. 
Des erreurs ou maladresses sont encore possibles.</t>
  </si>
  <si>
    <t xml:space="preserve">Les structures étudiées ne sont pas employées ou sont évitées.
Eprouve de la difficulté à reconnaître les structures étudiées dans les questions posées. </t>
  </si>
  <si>
    <t>Sa maîtrise actuelle de la grammaire ne permet pas l'utilisation des structures étudiées.</t>
  </si>
  <si>
    <t>VOCABULAIRE</t>
  </si>
  <si>
    <t>Montre une maîtrise du vocabulaire général en plus des termes étudiés pendant le semestre.</t>
  </si>
  <si>
    <t>Les erreurs lexicales ne causent pas de quiproquo.
Les mots étudiés pendant le semestre sont maîtrisés ou sont corrigés.</t>
  </si>
  <si>
    <t>Les erreurs lexicales peuvent causer des quiproquos. 
Certains mots clés du semestre ne sont pas maîtrisés.</t>
  </si>
  <si>
    <t>Utilisation de mots en français, le lexique n’est pas préparé. 
Les mots étudiés lors du semestre ne sont pas maîtrisés.</t>
  </si>
  <si>
    <t>PRONONCIATION</t>
  </si>
  <si>
    <t>La phonologie est assez maîtrisée pour être compréhensible par un interlocuteur natif qui n'est pas habitué à communiquer avec des francophones.</t>
  </si>
  <si>
    <t>Les sons et l'intonation commencent à être suffisamment maîtrisés pour ne pas poser de difficulté à un interlocuteur natif.
Il peut rester des erreurs d'accent tonique ou de prononciation qui n'empêchent pas la compréhension du message.</t>
  </si>
  <si>
    <t>Les sons qui posent typiquement problèmes aux francophones ne sont pas maîtrisés [H, R, TH, voyelles, marqueurs grammaticaux].
La maîtrise de l'accent tonique pose des problèmes de compréhension aux interlocuteurs natifs.</t>
  </si>
  <si>
    <t>La prononciation est incompréhensible pour un interlocuteur natif.</t>
  </si>
  <si>
    <t>Note finale</t>
  </si>
  <si>
    <t>S. GRENIER</t>
  </si>
  <si>
    <t>ABS</t>
  </si>
  <si>
    <t>GU B2</t>
  </si>
  <si>
    <t>Grille d’évaluation - Anglais Oral JOB INTERVIEWS - CV_S2</t>
  </si>
  <si>
    <t>Nom de l'étudiant</t>
  </si>
  <si>
    <t xml:space="preserve">Nom de l'étudiant </t>
  </si>
  <si>
    <t>GUARDIA</t>
  </si>
  <si>
    <t xml:space="preserve">CV
respect des consignes données </t>
  </si>
  <si>
    <r>
      <t>GRAMMAIRE</t>
    </r>
    <r>
      <rPr>
        <sz val="11"/>
        <color theme="1"/>
        <rFont val="Calibri"/>
        <family val="2"/>
        <scheme val="minor"/>
      </rPr>
      <t xml:space="preserve">
Semestres 1 &amp; 2
1. All tenses
2. Modals </t>
    </r>
  </si>
  <si>
    <r>
      <t>GRAMMAIRE</t>
    </r>
    <r>
      <rPr>
        <sz val="11"/>
        <color theme="1"/>
        <rFont val="Calibri"/>
        <family val="2"/>
        <scheme val="minor"/>
      </rPr>
      <t xml:space="preserve">
Semestres 1&amp; 2
1. All tenses
2. Modals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</si>
</sst>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sz val="11"/>
      <color theme="1"/>
      <name val="Arial"/>
      <family val="2"/>
    </font>
    <font>
      <b/>
      <sz val="8"/>
      <color rgb="FF000000"/>
      <name val="Arial"/>
      <family val="2"/>
    </font>
    <font>
      <b/>
      <sz val="11"/>
      <color theme="1"/>
      <name val="Calibri"/>
      <family val="2"/>
      <scheme val="minor"/>
    </font>
    <font>
      <sz val="11"/>
      <color theme="1"/>
      <name val="Arial Black"/>
      <family val="2"/>
    </font>
    <font>
      <b/>
      <sz val="11"/>
      <color theme="1"/>
      <name val="Arial"/>
      <family val="2"/>
    </font>
    <font>
      <sz val="10"/>
      <color theme="1"/>
      <name val="Calibri"/>
      <family val="2"/>
      <scheme val="minor"/>
    </font>
    <font>
      <b/>
      <sz val="10"/>
      <color theme="1"/>
      <name val="Calibri Light"/>
      <family val="2"/>
      <scheme val="major"/>
    </font>
    <font>
      <sz val="14"/>
      <color theme="1"/>
      <name val="Arial Black"/>
      <family val="2"/>
    </font>
    <font>
      <sz val="9"/>
      <name val="Calibri"/>
      <family val="2"/>
      <scheme val="minor"/>
    </font>
    <font>
      <sz val="11"/>
      <color rgb="FFFF0000"/>
      <name val="Arial Black"/>
      <family val="2"/>
    </font>
    <font>
      <b/>
      <sz val="11"/>
      <color theme="8" tint="-0.249977111117893"/>
      <name val="Arial"/>
      <family val="2"/>
    </font>
    <font>
      <sz val="11"/>
      <color theme="8" tint="-0.249977111117893"/>
      <name val="Calibri"/>
      <family val="2"/>
      <scheme val="minor"/>
    </font>
    <font>
      <b/>
      <sz val="16"/>
      <color rgb="FF000000"/>
      <name val="Arial"/>
      <family val="2"/>
    </font>
    <font>
      <b/>
      <sz val="18"/>
      <color rgb="FF000000"/>
      <name val="Arial"/>
      <family val="2"/>
    </font>
  </fonts>
  <fills count="6">
    <fill>
      <patternFill patternType="none"/>
    </fill>
    <fill>
      <patternFill patternType="gray125"/>
    </fill>
    <fill>
      <patternFill patternType="solid">
        <fgColor theme="7" tint="0.79998168889431442"/>
        <bgColor theme="7" tint="0.79998168889431442"/>
      </patternFill>
    </fill>
    <fill>
      <patternFill patternType="solid">
        <fgColor theme="0"/>
        <bgColor indexed="64"/>
      </patternFill>
    </fill>
    <fill>
      <patternFill patternType="solid">
        <fgColor theme="9" tint="0.59999389629810485"/>
        <bgColor indexed="64"/>
      </patternFill>
    </fill>
    <fill>
      <patternFill patternType="solid">
        <fgColor theme="4" tint="-0.249977111117893"/>
        <bgColor indexed="64"/>
      </patternFill>
    </fill>
  </fills>
  <borders count="12">
    <border>
      <left/>
      <right/>
      <top/>
      <bottom/>
      <diagonal/>
    </border>
    <border>
      <left/>
      <right style="medium">
        <color rgb="FF000000"/>
      </right>
      <top/>
      <bottom style="thick">
        <color indexed="64"/>
      </bottom>
      <diagonal/>
    </border>
    <border>
      <left/>
      <right style="medium">
        <color rgb="FF000000"/>
      </right>
      <top/>
      <bottom/>
      <diagonal/>
    </border>
    <border>
      <left/>
      <right style="thin">
        <color theme="7" tint="0.39997558519241921"/>
      </right>
      <top style="thin">
        <color theme="7" tint="0.39997558519241921"/>
      </top>
      <bottom style="thin">
        <color theme="7" tint="0.39997558519241921"/>
      </bottom>
      <diagonal/>
    </border>
    <border>
      <left style="medium">
        <color indexed="64"/>
      </left>
      <right style="medium">
        <color indexed="64"/>
      </right>
      <top style="medium">
        <color indexed="64"/>
      </top>
      <bottom style="medium">
        <color indexed="64"/>
      </bottom>
      <diagonal/>
    </border>
    <border>
      <left/>
      <right/>
      <top/>
      <bottom style="thick">
        <color indexed="64"/>
      </bottom>
      <diagonal/>
    </border>
    <border>
      <left style="medium">
        <color indexed="64"/>
      </left>
      <right style="medium">
        <color rgb="FF000000"/>
      </right>
      <top style="medium">
        <color indexed="64"/>
      </top>
      <bottom/>
      <diagonal/>
    </border>
    <border>
      <left/>
      <right style="medium">
        <color rgb="FF000000"/>
      </right>
      <top style="medium">
        <color indexed="64"/>
      </top>
      <bottom/>
      <diagonal/>
    </border>
    <border>
      <left/>
      <right style="medium">
        <color indexed="64"/>
      </right>
      <top style="medium">
        <color indexed="64"/>
      </top>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right style="medium">
        <color indexed="64"/>
      </right>
      <top/>
      <bottom style="medium">
        <color indexed="64"/>
      </bottom>
      <diagonal/>
    </border>
  </borders>
  <cellStyleXfs count="1">
    <xf numFmtId="0" fontId="0" fillId="0" borderId="0"/>
  </cellStyleXfs>
  <cellXfs count="35">
    <xf numFmtId="0" fontId="0" fillId="0" borderId="0" xfId="0"/>
    <xf numFmtId="0" fontId="4" fillId="0" borderId="0" xfId="0" applyFont="1"/>
    <xf numFmtId="0" fontId="1" fillId="0" borderId="0" xfId="0" applyFont="1"/>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5" fillId="0" borderId="0" xfId="0" applyFont="1" applyAlignment="1">
      <alignment vertical="center" wrapText="1"/>
    </xf>
    <xf numFmtId="0" fontId="6" fillId="3" borderId="0" xfId="0" applyNumberFormat="1" applyFont="1" applyFill="1" applyAlignment="1">
      <alignment vertical="center" wrapText="1"/>
    </xf>
    <xf numFmtId="0" fontId="7" fillId="4" borderId="4" xfId="0" applyFont="1" applyFill="1" applyBorder="1" applyAlignment="1">
      <alignment horizontal="center" vertical="center"/>
    </xf>
    <xf numFmtId="0" fontId="1" fillId="0" borderId="0" xfId="0" applyFont="1" applyAlignment="1">
      <alignment horizontal="center" vertical="center"/>
    </xf>
    <xf numFmtId="0" fontId="1" fillId="2" borderId="3" xfId="0" applyFont="1" applyFill="1" applyBorder="1" applyAlignment="1">
      <alignment horizontal="center" vertical="center"/>
    </xf>
    <xf numFmtId="0" fontId="8" fillId="0" borderId="0" xfId="0" applyFont="1"/>
    <xf numFmtId="0" fontId="1" fillId="0" borderId="4" xfId="0" applyFont="1" applyBorder="1" applyProtection="1">
      <protection locked="0"/>
    </xf>
    <xf numFmtId="0" fontId="4" fillId="0" borderId="0" xfId="0" applyFont="1" applyProtection="1">
      <protection locked="0"/>
    </xf>
    <xf numFmtId="0" fontId="7" fillId="4" borderId="4" xfId="0" quotePrefix="1" applyFont="1" applyFill="1" applyBorder="1" applyAlignment="1">
      <alignment horizontal="center" vertical="center"/>
    </xf>
    <xf numFmtId="0" fontId="4" fillId="0" borderId="0" xfId="0" applyFont="1" applyFill="1" applyProtection="1">
      <protection locked="0"/>
    </xf>
    <xf numFmtId="0" fontId="10" fillId="0" borderId="0" xfId="0" applyFont="1" applyProtection="1">
      <protection locked="0"/>
    </xf>
    <xf numFmtId="0" fontId="11" fillId="0" borderId="4" xfId="0" applyFont="1" applyBorder="1" applyProtection="1">
      <protection locked="0"/>
    </xf>
    <xf numFmtId="0" fontId="12" fillId="0" borderId="4" xfId="0" applyFont="1" applyBorder="1" applyProtection="1">
      <protection locked="0"/>
    </xf>
    <xf numFmtId="14" fontId="1" fillId="0" borderId="0" xfId="0" applyNumberFormat="1" applyFont="1"/>
    <xf numFmtId="0" fontId="2" fillId="5" borderId="0" xfId="0" applyFont="1" applyFill="1" applyBorder="1" applyAlignment="1">
      <alignment horizontal="center" vertical="center" wrapText="1"/>
    </xf>
    <xf numFmtId="0" fontId="1" fillId="5" borderId="0" xfId="0" applyFont="1" applyFill="1"/>
    <xf numFmtId="0" fontId="2" fillId="5" borderId="0"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9"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13" fillId="5" borderId="0" xfId="0" applyFont="1" applyFill="1" applyBorder="1" applyAlignment="1">
      <alignment horizontal="center" vertical="center" wrapText="1"/>
    </xf>
    <xf numFmtId="0" fontId="14" fillId="5" borderId="0" xfId="0" applyFont="1" applyFill="1" applyBorder="1" applyAlignment="1">
      <alignment horizontal="center" vertical="center" wrapText="1"/>
    </xf>
  </cellXfs>
  <cellStyles count="1">
    <cellStyle name="Normal" xfId="0" builtinId="0"/>
  </cellStyles>
  <dxfs count="20">
    <dxf>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Arial"/>
        <scheme val="none"/>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border outline="0">
        <top style="thick">
          <color rgb="FF000000"/>
        </top>
      </border>
    </dxf>
    <dxf>
      <alignment horizontal="general" vertical="center"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solid">
          <fgColor indexed="64"/>
          <bgColor rgb="FFFBE216"/>
        </patternFill>
      </fill>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theme="1"/>
        <name val="Arial"/>
        <scheme val="none"/>
      </font>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border outline="0">
        <top style="thick">
          <color indexed="64"/>
        </top>
      </border>
    </dxf>
    <dxf>
      <alignment horizontal="general" vertical="center" textRotation="0" wrapText="1" indent="0" justifyLastLine="0" shrinkToFit="0" readingOrder="0"/>
    </dxf>
    <dxf>
      <font>
        <b/>
        <i val="0"/>
        <strike val="0"/>
        <condense val="0"/>
        <extend val="0"/>
        <outline val="0"/>
        <shadow val="0"/>
        <u val="none"/>
        <vertAlign val="baseline"/>
        <sz val="8"/>
        <color rgb="FF000000"/>
        <name val="Arial"/>
        <scheme val="none"/>
      </font>
      <fill>
        <patternFill patternType="solid">
          <fgColor indexed="64"/>
          <bgColor rgb="FFFBE216"/>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au1" displayName="Tableau1" ref="A10:G18" totalsRowShown="0" headerRowDxfId="19" dataDxfId="18" tableBorderDxfId="17">
  <tableColumns count="7">
    <tableColumn id="1" name="AAV" dataDxfId="16"/>
    <tableColumn id="2" name="A" dataDxfId="15"/>
    <tableColumn id="3" name="B" dataDxfId="14"/>
    <tableColumn id="4" name="C" dataDxfId="13"/>
    <tableColumn id="5" name="D" dataDxfId="12"/>
    <tableColumn id="6" name="Note" dataDxfId="11"/>
    <tableColumn id="7" name="Calcul" dataDxfId="10">
      <calculatedColumnFormula>IF(F11="A",5,IF(F11="B",4,IF(F11="C",2,1)))</calculatedColumnFormula>
    </tableColumn>
  </tableColumns>
  <tableStyleInfo name="TableStyleMedium5" showFirstColumn="0" showLastColumn="0" showRowStripes="1" showColumnStripes="0"/>
</table>
</file>

<file path=xl/tables/table2.xml><?xml version="1.0" encoding="utf-8"?>
<table xmlns="http://schemas.openxmlformats.org/spreadsheetml/2006/main" id="2" name="Tableau13" displayName="Tableau13" ref="A10:G18" totalsRowShown="0" headerRowDxfId="9" dataDxfId="8" tableBorderDxfId="7">
  <tableColumns count="7">
    <tableColumn id="1" name="AAV" dataDxfId="6"/>
    <tableColumn id="2" name="A" dataDxfId="5"/>
    <tableColumn id="3" name="B" dataDxfId="4"/>
    <tableColumn id="4" name="C" dataDxfId="3"/>
    <tableColumn id="5" name="D" dataDxfId="2"/>
    <tableColumn id="6" name="Note" dataDxfId="1"/>
    <tableColumn id="7" name="Calcul" dataDxfId="0">
      <calculatedColumnFormula>IF(F11="A",5,IF(F11="B",4,IF(F11="C",2,1)))</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18"/>
  <sheetViews>
    <sheetView tabSelected="1" zoomScale="75" zoomScaleNormal="75" workbookViewId="0">
      <pane xSplit="5" ySplit="6" topLeftCell="F7" activePane="bottomRight" state="frozen"/>
      <selection pane="topRight" activeCell="F1" sqref="F1"/>
      <selection pane="bottomLeft" activeCell="A7" sqref="A7"/>
      <selection pane="bottomRight" activeCell="A15" sqref="A15"/>
    </sheetView>
  </sheetViews>
  <sheetFormatPr baseColWidth="10" defaultRowHeight="14.25" x14ac:dyDescent="0.2"/>
  <cols>
    <col min="1" max="1" width="26.5703125" style="2" customWidth="1"/>
    <col min="2" max="5" width="18.140625" style="2" customWidth="1"/>
    <col min="6" max="6" width="13.7109375" style="2" customWidth="1"/>
    <col min="7" max="7" width="13.7109375" style="2" hidden="1" customWidth="1"/>
    <col min="8" max="8" width="13.7109375" style="2" customWidth="1"/>
    <col min="9" max="9" width="13.7109375" style="2" hidden="1" customWidth="1"/>
    <col min="10" max="10" width="14.140625" style="2" customWidth="1"/>
    <col min="11" max="11" width="13.7109375" style="2" hidden="1" customWidth="1"/>
    <col min="12" max="12" width="13.7109375" style="2" customWidth="1"/>
    <col min="13" max="13" width="13.7109375" style="2" hidden="1" customWidth="1"/>
    <col min="14" max="14" width="13.7109375" style="2" customWidth="1"/>
    <col min="15" max="15" width="13.7109375" style="2" hidden="1" customWidth="1"/>
    <col min="16" max="16" width="13.7109375" style="2" customWidth="1"/>
    <col min="17" max="17" width="13.7109375" style="2" hidden="1" customWidth="1"/>
    <col min="18" max="18" width="13.7109375" style="2" customWidth="1"/>
    <col min="19" max="19" width="13.7109375" style="2" hidden="1" customWidth="1"/>
    <col min="20" max="20" width="13.7109375" style="2" customWidth="1"/>
    <col min="21" max="21" width="13.7109375" style="2" hidden="1" customWidth="1"/>
    <col min="22" max="22" width="14.42578125" style="2" customWidth="1"/>
    <col min="23" max="23" width="13.7109375" style="2" hidden="1" customWidth="1"/>
    <col min="24" max="24" width="13.7109375" style="2" customWidth="1"/>
    <col min="25" max="26" width="13.7109375" style="2" hidden="1" customWidth="1"/>
    <col min="27" max="27" width="13.7109375" style="2" customWidth="1"/>
    <col min="28" max="28" width="13.7109375" style="2" hidden="1" customWidth="1"/>
    <col min="29" max="29" width="13.7109375" style="2" customWidth="1"/>
    <col min="30" max="30" width="13.7109375" style="2" hidden="1" customWidth="1"/>
    <col min="31" max="31" width="13.7109375" style="2" customWidth="1"/>
    <col min="32" max="32" width="13.7109375" style="2" hidden="1" customWidth="1"/>
    <col min="33" max="40" width="13.7109375" style="2" customWidth="1"/>
    <col min="41" max="16384" width="11.42578125" style="2"/>
  </cols>
  <sheetData>
    <row r="1" spans="1:42" x14ac:dyDescent="0.2">
      <c r="A1" s="34" t="s">
        <v>48</v>
      </c>
      <c r="B1" s="20"/>
      <c r="C1" s="20"/>
      <c r="D1" s="20"/>
      <c r="E1" s="20"/>
      <c r="F1" s="20"/>
      <c r="G1" s="21"/>
      <c r="H1" s="20"/>
      <c r="I1" s="21"/>
      <c r="J1" s="20"/>
      <c r="K1" s="21"/>
      <c r="L1" s="20"/>
      <c r="M1" s="21"/>
      <c r="N1" s="20"/>
      <c r="O1" s="21"/>
      <c r="P1" s="20"/>
      <c r="Q1" s="21"/>
      <c r="R1" s="20"/>
      <c r="S1" s="21"/>
      <c r="T1" s="20"/>
      <c r="U1" s="21"/>
      <c r="V1" s="20"/>
      <c r="W1" s="21"/>
      <c r="X1" s="20"/>
      <c r="Y1" s="21"/>
      <c r="Z1" s="21"/>
      <c r="AA1" s="20"/>
      <c r="AB1" s="21"/>
      <c r="AC1" s="20"/>
      <c r="AD1" s="21"/>
      <c r="AE1" s="20"/>
      <c r="AF1" s="21"/>
      <c r="AG1" s="20"/>
      <c r="AH1" s="20"/>
      <c r="AI1" s="20"/>
      <c r="AJ1" s="20"/>
      <c r="AK1" s="20"/>
      <c r="AL1" s="20"/>
      <c r="AM1" s="20"/>
      <c r="AN1" s="20"/>
      <c r="AO1" s="21"/>
      <c r="AP1" s="21"/>
    </row>
    <row r="2" spans="1:42" x14ac:dyDescent="0.2">
      <c r="A2" s="34"/>
      <c r="B2" s="20"/>
      <c r="C2" s="20"/>
      <c r="D2" s="20"/>
      <c r="E2" s="20"/>
      <c r="F2" s="20"/>
      <c r="G2" s="21"/>
      <c r="H2" s="20"/>
      <c r="I2" s="21"/>
      <c r="J2" s="20"/>
      <c r="K2" s="21"/>
      <c r="L2" s="20"/>
      <c r="M2" s="21"/>
      <c r="N2" s="20"/>
      <c r="O2" s="21"/>
      <c r="P2" s="20"/>
      <c r="Q2" s="21"/>
      <c r="R2" s="20"/>
      <c r="S2" s="21"/>
      <c r="T2" s="20"/>
      <c r="U2" s="21"/>
      <c r="V2" s="20"/>
      <c r="W2" s="21"/>
      <c r="X2" s="20"/>
      <c r="Y2" s="21"/>
      <c r="Z2" s="21"/>
      <c r="AA2" s="20"/>
      <c r="AB2" s="21"/>
      <c r="AC2" s="20"/>
      <c r="AD2" s="21"/>
      <c r="AE2" s="20"/>
      <c r="AF2" s="21"/>
      <c r="AG2" s="20"/>
      <c r="AH2" s="20"/>
      <c r="AI2" s="20"/>
      <c r="AJ2" s="20"/>
      <c r="AK2" s="20"/>
      <c r="AL2" s="20"/>
      <c r="AM2" s="20"/>
      <c r="AN2" s="20"/>
      <c r="AO2" s="21"/>
      <c r="AP2" s="21"/>
    </row>
    <row r="3" spans="1:42" ht="17.25" customHeight="1" x14ac:dyDescent="0.2">
      <c r="A3" s="22"/>
      <c r="B3" s="22"/>
      <c r="C3" s="22"/>
      <c r="D3" s="22"/>
      <c r="E3" s="22"/>
      <c r="F3" s="22"/>
      <c r="G3" s="21"/>
      <c r="H3" s="22"/>
      <c r="I3" s="21"/>
      <c r="J3" s="22"/>
      <c r="K3" s="21"/>
      <c r="L3" s="22"/>
      <c r="M3" s="21"/>
      <c r="N3" s="22"/>
      <c r="O3" s="21"/>
      <c r="P3" s="22"/>
      <c r="Q3" s="21"/>
      <c r="R3" s="22"/>
      <c r="S3" s="21"/>
      <c r="T3" s="22"/>
      <c r="U3" s="21"/>
      <c r="V3" s="22"/>
      <c r="W3" s="21"/>
      <c r="X3" s="22"/>
      <c r="Y3" s="21"/>
      <c r="Z3" s="21"/>
      <c r="AA3" s="22"/>
      <c r="AB3" s="21"/>
      <c r="AC3" s="22"/>
      <c r="AD3" s="21"/>
      <c r="AE3" s="22"/>
      <c r="AF3" s="21"/>
      <c r="AG3" s="22"/>
      <c r="AH3" s="22"/>
      <c r="AI3" s="22"/>
      <c r="AJ3" s="22"/>
      <c r="AK3" s="22"/>
      <c r="AL3" s="22"/>
      <c r="AM3" s="22"/>
      <c r="AN3" s="22"/>
      <c r="AO3" s="21"/>
      <c r="AP3" s="21"/>
    </row>
    <row r="5" spans="1:42" s="11" customFormat="1" ht="22.5" x14ac:dyDescent="0.45">
      <c r="A5" s="11" t="s">
        <v>45</v>
      </c>
    </row>
    <row r="6" spans="1:42" s="1" customFormat="1" ht="19.5" thickBot="1" x14ac:dyDescent="0.45">
      <c r="A6" s="1" t="s">
        <v>46</v>
      </c>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row>
    <row r="7" spans="1:42" ht="19.5" thickBot="1" x14ac:dyDescent="0.45">
      <c r="A7" s="1" t="s">
        <v>9</v>
      </c>
      <c r="B7" s="17" t="s">
        <v>44</v>
      </c>
      <c r="C7" s="19"/>
    </row>
    <row r="8" spans="1:42" ht="19.5" thickBot="1" x14ac:dyDescent="0.45">
      <c r="A8" s="1" t="s">
        <v>10</v>
      </c>
      <c r="B8" s="18" t="s">
        <v>42</v>
      </c>
    </row>
    <row r="9" spans="1:42" ht="15" thickBot="1" x14ac:dyDescent="0.25"/>
    <row r="10" spans="1:42" ht="18" customHeight="1" x14ac:dyDescent="0.2">
      <c r="A10" s="23" t="s">
        <v>11</v>
      </c>
      <c r="B10" s="23" t="s">
        <v>0</v>
      </c>
      <c r="C10" s="23" t="s">
        <v>2</v>
      </c>
      <c r="D10" s="23" t="s">
        <v>4</v>
      </c>
      <c r="E10" s="23" t="s">
        <v>6</v>
      </c>
      <c r="F10" s="23" t="s">
        <v>12</v>
      </c>
      <c r="G10" s="22" t="s">
        <v>8</v>
      </c>
      <c r="H10" s="26" t="s">
        <v>12</v>
      </c>
      <c r="I10" s="27" t="s">
        <v>8</v>
      </c>
      <c r="J10" s="27" t="s">
        <v>12</v>
      </c>
      <c r="K10" s="27" t="s">
        <v>8</v>
      </c>
      <c r="L10" s="27" t="s">
        <v>12</v>
      </c>
      <c r="M10" s="27" t="s">
        <v>8</v>
      </c>
      <c r="N10" s="27" t="s">
        <v>12</v>
      </c>
      <c r="O10" s="27" t="s">
        <v>8</v>
      </c>
      <c r="P10" s="27" t="s">
        <v>12</v>
      </c>
      <c r="Q10" s="27" t="s">
        <v>8</v>
      </c>
      <c r="R10" s="27" t="s">
        <v>12</v>
      </c>
      <c r="S10" s="27" t="s">
        <v>8</v>
      </c>
      <c r="T10" s="27" t="s">
        <v>12</v>
      </c>
      <c r="U10" s="27" t="s">
        <v>8</v>
      </c>
      <c r="V10" s="27" t="s">
        <v>12</v>
      </c>
      <c r="W10" s="27" t="s">
        <v>8</v>
      </c>
      <c r="X10" s="27" t="s">
        <v>12</v>
      </c>
      <c r="Y10" s="27" t="s">
        <v>8</v>
      </c>
      <c r="Z10" s="27" t="s">
        <v>8</v>
      </c>
      <c r="AA10" s="27" t="s">
        <v>12</v>
      </c>
      <c r="AB10" s="27" t="s">
        <v>8</v>
      </c>
      <c r="AC10" s="27" t="s">
        <v>12</v>
      </c>
      <c r="AD10" s="27" t="s">
        <v>8</v>
      </c>
      <c r="AE10" s="27" t="s">
        <v>12</v>
      </c>
      <c r="AF10" s="27" t="s">
        <v>8</v>
      </c>
      <c r="AG10" s="28" t="s">
        <v>12</v>
      </c>
      <c r="AH10" s="28" t="s">
        <v>12</v>
      </c>
      <c r="AI10" s="28" t="s">
        <v>12</v>
      </c>
      <c r="AJ10" s="28" t="s">
        <v>12</v>
      </c>
      <c r="AK10" s="28" t="s">
        <v>12</v>
      </c>
      <c r="AL10" s="28" t="s">
        <v>12</v>
      </c>
      <c r="AM10" s="28" t="s">
        <v>12</v>
      </c>
      <c r="AN10" s="28" t="s">
        <v>12</v>
      </c>
    </row>
    <row r="11" spans="1:42" ht="15" thickBot="1" x14ac:dyDescent="0.25">
      <c r="A11" s="24"/>
      <c r="B11" s="24" t="s">
        <v>1</v>
      </c>
      <c r="C11" s="24" t="s">
        <v>3</v>
      </c>
      <c r="D11" s="24" t="s">
        <v>5</v>
      </c>
      <c r="E11" s="24" t="s">
        <v>7</v>
      </c>
      <c r="F11" s="24"/>
      <c r="G11" s="25"/>
      <c r="H11" s="30"/>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2"/>
      <c r="AH11" s="32"/>
      <c r="AI11" s="32"/>
      <c r="AJ11" s="32"/>
      <c r="AK11" s="32"/>
      <c r="AL11" s="32"/>
      <c r="AM11" s="32"/>
      <c r="AN11" s="32"/>
    </row>
    <row r="12" spans="1:42" ht="375.75" thickTop="1" x14ac:dyDescent="0.2">
      <c r="A12" s="4" t="s">
        <v>26</v>
      </c>
      <c r="B12" s="3" t="s">
        <v>13</v>
      </c>
      <c r="C12" s="3" t="s">
        <v>14</v>
      </c>
      <c r="D12" s="3" t="s">
        <v>15</v>
      </c>
      <c r="E12" s="3" t="s">
        <v>16</v>
      </c>
      <c r="F12" s="9" t="s">
        <v>0</v>
      </c>
      <c r="G12" s="7">
        <f t="shared" ref="G12:I17" si="0">IF(F12="A",5,IF(F12="B",4,IF(F12="C",2,1)))</f>
        <v>5</v>
      </c>
      <c r="H12" s="9" t="s">
        <v>0</v>
      </c>
      <c r="I12" s="7">
        <f t="shared" si="0"/>
        <v>5</v>
      </c>
      <c r="J12" s="9" t="s">
        <v>0</v>
      </c>
      <c r="K12" s="7">
        <f t="shared" ref="K12" si="1">IF(J12="A",5,IF(J12="B",4,IF(J12="C",2,1)))</f>
        <v>5</v>
      </c>
      <c r="L12" s="9" t="s">
        <v>2</v>
      </c>
      <c r="M12" s="7">
        <f t="shared" ref="M12" si="2">IF(L12="A",5,IF(L12="B",4,IF(L12="C",2,1)))</f>
        <v>4</v>
      </c>
      <c r="N12" s="9" t="s">
        <v>2</v>
      </c>
      <c r="O12" s="7">
        <f t="shared" ref="O12" si="3">IF(N12="A",5,IF(N12="B",4,IF(N12="C",2,1)))</f>
        <v>4</v>
      </c>
      <c r="P12" s="9" t="s">
        <v>2</v>
      </c>
      <c r="Q12" s="7">
        <f t="shared" ref="Q12" si="4">IF(P12="A",5,IF(P12="B",4,IF(P12="C",2,1)))</f>
        <v>4</v>
      </c>
      <c r="R12" s="9" t="s">
        <v>6</v>
      </c>
      <c r="S12" s="7">
        <f t="shared" ref="S12" si="5">IF(R12="A",5,IF(R12="B",4,IF(R12="C",2,1)))</f>
        <v>1</v>
      </c>
      <c r="T12" s="9" t="s">
        <v>2</v>
      </c>
      <c r="U12" s="7">
        <f t="shared" ref="U12" si="6">IF(T12="A",5,IF(T12="B",4,IF(T12="C",2,1)))</f>
        <v>4</v>
      </c>
      <c r="V12" s="9" t="s">
        <v>0</v>
      </c>
      <c r="W12" s="7">
        <f t="shared" ref="W12" si="7">IF(V12="A",5,IF(V12="B",4,IF(V12="C",2,1)))</f>
        <v>5</v>
      </c>
      <c r="X12" s="9" t="s">
        <v>0</v>
      </c>
      <c r="Y12" s="7">
        <f t="shared" ref="Y12" si="8">IF(X12="A",5,IF(X12="B",4,IF(X12="C",2,1)))</f>
        <v>5</v>
      </c>
      <c r="Z12" s="7" t="e">
        <f>IF(#REF!="A",5,IF(#REF!="B",4,IF(#REF!="C",2,1)))</f>
        <v>#REF!</v>
      </c>
      <c r="AA12" s="9" t="s">
        <v>2</v>
      </c>
      <c r="AB12" s="7">
        <f t="shared" ref="AB12" si="9">IF(AA12="A",5,IF(AA12="B",4,IF(AA12="C",2,1)))</f>
        <v>4</v>
      </c>
      <c r="AC12" s="9" t="s">
        <v>0</v>
      </c>
      <c r="AD12" s="7">
        <f t="shared" ref="AD12" si="10">IF(AC12="A",5,IF(AC12="B",4,IF(AC12="C",2,1)))</f>
        <v>5</v>
      </c>
      <c r="AE12" s="9" t="s">
        <v>0</v>
      </c>
      <c r="AF12" s="7">
        <f t="shared" ref="AF12" si="11">IF(AE12="A",5,IF(AE12="B",4,IF(AE12="C",2,1)))</f>
        <v>5</v>
      </c>
      <c r="AG12" s="9" t="s">
        <v>2</v>
      </c>
      <c r="AH12" s="9" t="s">
        <v>0</v>
      </c>
      <c r="AI12" s="9" t="s">
        <v>0</v>
      </c>
      <c r="AJ12" s="9" t="s">
        <v>2</v>
      </c>
      <c r="AK12" s="9" t="s">
        <v>0</v>
      </c>
      <c r="AL12" s="9" t="s">
        <v>2</v>
      </c>
      <c r="AM12" s="9" t="s">
        <v>0</v>
      </c>
      <c r="AN12" s="9"/>
    </row>
    <row r="13" spans="1:42" ht="270" x14ac:dyDescent="0.2">
      <c r="A13" s="4" t="s">
        <v>17</v>
      </c>
      <c r="B13" s="3" t="s">
        <v>18</v>
      </c>
      <c r="C13" s="3" t="s">
        <v>19</v>
      </c>
      <c r="D13" s="3" t="s">
        <v>20</v>
      </c>
      <c r="E13" s="3" t="s">
        <v>21</v>
      </c>
      <c r="F13" s="9" t="s">
        <v>0</v>
      </c>
      <c r="G13" s="5">
        <f t="shared" si="0"/>
        <v>5</v>
      </c>
      <c r="H13" s="10" t="s">
        <v>2</v>
      </c>
      <c r="I13" s="10">
        <f t="shared" si="0"/>
        <v>4</v>
      </c>
      <c r="J13" s="10" t="s">
        <v>2</v>
      </c>
      <c r="K13" s="10">
        <f t="shared" ref="K13" si="12">IF(J13="A",5,IF(J13="B",4,IF(J13="C",2,1)))</f>
        <v>4</v>
      </c>
      <c r="L13" s="10" t="s">
        <v>2</v>
      </c>
      <c r="M13" s="10">
        <f t="shared" ref="M13" si="13">IF(L13="A",5,IF(L13="B",4,IF(L13="C",2,1)))</f>
        <v>4</v>
      </c>
      <c r="N13" s="10" t="s">
        <v>2</v>
      </c>
      <c r="O13" s="10">
        <f t="shared" ref="O13" si="14">IF(N13="A",5,IF(N13="B",4,IF(N13="C",2,1)))</f>
        <v>4</v>
      </c>
      <c r="P13" s="10" t="s">
        <v>2</v>
      </c>
      <c r="Q13" s="10">
        <f t="shared" ref="Q13" si="15">IF(P13="A",5,IF(P13="B",4,IF(P13="C",2,1)))</f>
        <v>4</v>
      </c>
      <c r="R13" s="10" t="s">
        <v>4</v>
      </c>
      <c r="S13" s="10">
        <f t="shared" ref="S13" si="16">IF(R13="A",5,IF(R13="B",4,IF(R13="C",2,1)))</f>
        <v>2</v>
      </c>
      <c r="T13" s="10" t="s">
        <v>2</v>
      </c>
      <c r="U13" s="10">
        <f t="shared" ref="U13" si="17">IF(T13="A",5,IF(T13="B",4,IF(T13="C",2,1)))</f>
        <v>4</v>
      </c>
      <c r="V13" s="10" t="s">
        <v>0</v>
      </c>
      <c r="W13" s="10">
        <f t="shared" ref="W13" si="18">IF(V13="A",5,IF(V13="B",4,IF(V13="C",2,1)))</f>
        <v>5</v>
      </c>
      <c r="X13" s="10" t="s">
        <v>2</v>
      </c>
      <c r="Y13" s="10">
        <f t="shared" ref="Y13" si="19">IF(X13="A",5,IF(X13="B",4,IF(X13="C",2,1)))</f>
        <v>4</v>
      </c>
      <c r="Z13" s="10" t="e">
        <f>IF(#REF!="A",5,IF(#REF!="B",4,IF(#REF!="C",2,1)))</f>
        <v>#REF!</v>
      </c>
      <c r="AA13" s="10" t="s">
        <v>2</v>
      </c>
      <c r="AB13" s="10">
        <f t="shared" ref="AB13" si="20">IF(AA13="A",5,IF(AA13="B",4,IF(AA13="C",2,1)))</f>
        <v>4</v>
      </c>
      <c r="AC13" s="10" t="s">
        <v>0</v>
      </c>
      <c r="AD13" s="10">
        <f t="shared" ref="AD13" si="21">IF(AC13="A",5,IF(AC13="B",4,IF(AC13="C",2,1)))</f>
        <v>5</v>
      </c>
      <c r="AE13" s="10" t="s">
        <v>0</v>
      </c>
      <c r="AF13" s="10">
        <f t="shared" ref="AF13" si="22">IF(AE13="A",5,IF(AE13="B",4,IF(AE13="C",2,1)))</f>
        <v>5</v>
      </c>
      <c r="AG13" s="10" t="s">
        <v>2</v>
      </c>
      <c r="AH13" s="10" t="s">
        <v>0</v>
      </c>
      <c r="AI13" s="10" t="s">
        <v>2</v>
      </c>
      <c r="AJ13" s="10" t="s">
        <v>2</v>
      </c>
      <c r="AK13" s="10" t="s">
        <v>0</v>
      </c>
      <c r="AL13" s="10" t="s">
        <v>2</v>
      </c>
      <c r="AM13" s="10" t="s">
        <v>0</v>
      </c>
      <c r="AN13" s="10"/>
    </row>
    <row r="14" spans="1:42" ht="60" x14ac:dyDescent="0.2">
      <c r="A14" s="4" t="s">
        <v>49</v>
      </c>
      <c r="B14" s="3" t="s">
        <v>22</v>
      </c>
      <c r="C14" s="3" t="s">
        <v>23</v>
      </c>
      <c r="D14" s="3" t="s">
        <v>24</v>
      </c>
      <c r="E14" s="3" t="s">
        <v>25</v>
      </c>
      <c r="F14" s="9" t="s">
        <v>2</v>
      </c>
      <c r="G14" s="5">
        <f t="shared" si="0"/>
        <v>4</v>
      </c>
      <c r="H14" s="9" t="s">
        <v>2</v>
      </c>
      <c r="I14" s="5">
        <f t="shared" si="0"/>
        <v>4</v>
      </c>
      <c r="J14" s="9" t="s">
        <v>4</v>
      </c>
      <c r="K14" s="5">
        <f t="shared" ref="K14" si="23">IF(J14="A",5,IF(J14="B",4,IF(J14="C",2,1)))</f>
        <v>2</v>
      </c>
      <c r="L14" s="9" t="s">
        <v>4</v>
      </c>
      <c r="M14" s="5">
        <f t="shared" ref="M14" si="24">IF(L14="A",5,IF(L14="B",4,IF(L14="C",2,1)))</f>
        <v>2</v>
      </c>
      <c r="N14" s="9" t="s">
        <v>4</v>
      </c>
      <c r="O14" s="5">
        <f t="shared" ref="O14" si="25">IF(N14="A",5,IF(N14="B",4,IF(N14="C",2,1)))</f>
        <v>2</v>
      </c>
      <c r="P14" s="9" t="s">
        <v>4</v>
      </c>
      <c r="Q14" s="5">
        <f t="shared" ref="Q14" si="26">IF(P14="A",5,IF(P14="B",4,IF(P14="C",2,1)))</f>
        <v>2</v>
      </c>
      <c r="R14" s="9" t="s">
        <v>2</v>
      </c>
      <c r="S14" s="5">
        <f t="shared" ref="S14" si="27">IF(R14="A",5,IF(R14="B",4,IF(R14="C",2,1)))</f>
        <v>4</v>
      </c>
      <c r="T14" s="9" t="s">
        <v>0</v>
      </c>
      <c r="U14" s="5">
        <f t="shared" ref="U14" si="28">IF(T14="A",5,IF(T14="B",4,IF(T14="C",2,1)))</f>
        <v>5</v>
      </c>
      <c r="V14" s="9" t="s">
        <v>4</v>
      </c>
      <c r="W14" s="5">
        <f t="shared" ref="W14" si="29">IF(V14="A",5,IF(V14="B",4,IF(V14="C",2,1)))</f>
        <v>2</v>
      </c>
      <c r="X14" s="9" t="s">
        <v>4</v>
      </c>
      <c r="Y14" s="5">
        <f t="shared" ref="Y14" si="30">IF(X14="A",5,IF(X14="B",4,IF(X14="C",2,1)))</f>
        <v>2</v>
      </c>
      <c r="Z14" s="5" t="e">
        <f>IF(#REF!="A",5,IF(#REF!="B",4,IF(#REF!="C",2,1)))</f>
        <v>#REF!</v>
      </c>
      <c r="AA14" s="9" t="s">
        <v>2</v>
      </c>
      <c r="AB14" s="5">
        <f t="shared" ref="AB14" si="31">IF(AA14="A",5,IF(AA14="B",4,IF(AA14="C",2,1)))</f>
        <v>4</v>
      </c>
      <c r="AC14" s="9" t="s">
        <v>2</v>
      </c>
      <c r="AD14" s="5">
        <f t="shared" ref="AD14" si="32">IF(AC14="A",5,IF(AC14="B",4,IF(AC14="C",2,1)))</f>
        <v>4</v>
      </c>
      <c r="AE14" s="9" t="s">
        <v>0</v>
      </c>
      <c r="AF14" s="5">
        <f t="shared" ref="AF14" si="33">IF(AE14="A",5,IF(AE14="B",4,IF(AE14="C",2,1)))</f>
        <v>5</v>
      </c>
      <c r="AG14" s="9" t="s">
        <v>4</v>
      </c>
      <c r="AH14" s="9" t="s">
        <v>4</v>
      </c>
      <c r="AI14" s="9" t="s">
        <v>4</v>
      </c>
      <c r="AJ14" s="9" t="s">
        <v>4</v>
      </c>
      <c r="AK14" s="9" t="s">
        <v>4</v>
      </c>
      <c r="AL14" s="9" t="s">
        <v>2</v>
      </c>
      <c r="AM14" s="9" t="s">
        <v>2</v>
      </c>
      <c r="AN14" s="9"/>
    </row>
    <row r="15" spans="1:42" ht="315" x14ac:dyDescent="0.2">
      <c r="A15" s="4" t="s">
        <v>51</v>
      </c>
      <c r="B15" s="3" t="s">
        <v>27</v>
      </c>
      <c r="C15" s="3" t="s">
        <v>28</v>
      </c>
      <c r="D15" s="3" t="s">
        <v>29</v>
      </c>
      <c r="E15" s="3" t="s">
        <v>30</v>
      </c>
      <c r="F15" s="9" t="s">
        <v>0</v>
      </c>
      <c r="G15" s="5">
        <f t="shared" si="0"/>
        <v>5</v>
      </c>
      <c r="H15" s="10" t="s">
        <v>2</v>
      </c>
      <c r="I15" s="10">
        <f t="shared" si="0"/>
        <v>4</v>
      </c>
      <c r="J15" s="10" t="s">
        <v>2</v>
      </c>
      <c r="K15" s="10">
        <f t="shared" ref="K15" si="34">IF(J15="A",5,IF(J15="B",4,IF(J15="C",2,1)))</f>
        <v>4</v>
      </c>
      <c r="L15" s="10" t="s">
        <v>4</v>
      </c>
      <c r="M15" s="10">
        <f t="shared" ref="M15" si="35">IF(L15="A",5,IF(L15="B",4,IF(L15="C",2,1)))</f>
        <v>2</v>
      </c>
      <c r="N15" s="10" t="s">
        <v>4</v>
      </c>
      <c r="O15" s="10">
        <f t="shared" ref="O15" si="36">IF(N15="A",5,IF(N15="B",4,IF(N15="C",2,1)))</f>
        <v>2</v>
      </c>
      <c r="P15" s="10" t="s">
        <v>2</v>
      </c>
      <c r="Q15" s="10">
        <f t="shared" ref="Q15" si="37">IF(P15="A",5,IF(P15="B",4,IF(P15="C",2,1)))</f>
        <v>4</v>
      </c>
      <c r="R15" s="10" t="s">
        <v>6</v>
      </c>
      <c r="S15" s="10">
        <f t="shared" ref="S15" si="38">IF(R15="A",5,IF(R15="B",4,IF(R15="C",2,1)))</f>
        <v>1</v>
      </c>
      <c r="T15" s="10" t="s">
        <v>2</v>
      </c>
      <c r="U15" s="10">
        <f t="shared" ref="U15" si="39">IF(T15="A",5,IF(T15="B",4,IF(T15="C",2,1)))</f>
        <v>4</v>
      </c>
      <c r="V15" s="10" t="s">
        <v>0</v>
      </c>
      <c r="W15" s="10">
        <f t="shared" ref="W15" si="40">IF(V15="A",5,IF(V15="B",4,IF(V15="C",2,1)))</f>
        <v>5</v>
      </c>
      <c r="X15" s="10" t="s">
        <v>2</v>
      </c>
      <c r="Y15" s="10">
        <f t="shared" ref="Y15" si="41">IF(X15="A",5,IF(X15="B",4,IF(X15="C",2,1)))</f>
        <v>4</v>
      </c>
      <c r="Z15" s="10" t="e">
        <f>IF(#REF!="A",5,IF(#REF!="B",4,IF(#REF!="C",2,1)))</f>
        <v>#REF!</v>
      </c>
      <c r="AA15" s="10" t="s">
        <v>2</v>
      </c>
      <c r="AB15" s="10">
        <f t="shared" ref="AB15" si="42">IF(AA15="A",5,IF(AA15="B",4,IF(AA15="C",2,1)))</f>
        <v>4</v>
      </c>
      <c r="AC15" s="10" t="s">
        <v>2</v>
      </c>
      <c r="AD15" s="10">
        <f t="shared" ref="AD15" si="43">IF(AC15="A",5,IF(AC15="B",4,IF(AC15="C",2,1)))</f>
        <v>4</v>
      </c>
      <c r="AE15" s="10" t="s">
        <v>2</v>
      </c>
      <c r="AF15" s="10">
        <f t="shared" ref="AF15" si="44">IF(AE15="A",5,IF(AE15="B",4,IF(AE15="C",2,1)))</f>
        <v>4</v>
      </c>
      <c r="AG15" s="10" t="s">
        <v>4</v>
      </c>
      <c r="AH15" s="10" t="s">
        <v>2</v>
      </c>
      <c r="AI15" s="10" t="s">
        <v>4</v>
      </c>
      <c r="AJ15" s="10" t="s">
        <v>4</v>
      </c>
      <c r="AK15" s="10" t="s">
        <v>2</v>
      </c>
      <c r="AL15" s="10" t="s">
        <v>4</v>
      </c>
      <c r="AM15" s="10" t="s">
        <v>2</v>
      </c>
      <c r="AN15" s="10"/>
    </row>
    <row r="16" spans="1:42" ht="135" x14ac:dyDescent="0.2">
      <c r="A16" s="4" t="s">
        <v>31</v>
      </c>
      <c r="B16" s="3" t="s">
        <v>32</v>
      </c>
      <c r="C16" s="3" t="s">
        <v>33</v>
      </c>
      <c r="D16" s="3" t="s">
        <v>34</v>
      </c>
      <c r="E16" s="3" t="s">
        <v>35</v>
      </c>
      <c r="F16" s="9" t="s">
        <v>2</v>
      </c>
      <c r="G16" s="5">
        <f t="shared" si="0"/>
        <v>4</v>
      </c>
      <c r="H16" s="9" t="s">
        <v>4</v>
      </c>
      <c r="I16" s="5">
        <f t="shared" si="0"/>
        <v>2</v>
      </c>
      <c r="J16" s="9" t="s">
        <v>4</v>
      </c>
      <c r="K16" s="5">
        <f t="shared" ref="K16" si="45">IF(J16="A",5,IF(J16="B",4,IF(J16="C",2,1)))</f>
        <v>2</v>
      </c>
      <c r="L16" s="9" t="s">
        <v>4</v>
      </c>
      <c r="M16" s="5">
        <f t="shared" ref="M16" si="46">IF(L16="A",5,IF(L16="B",4,IF(L16="C",2,1)))</f>
        <v>2</v>
      </c>
      <c r="N16" s="9" t="s">
        <v>2</v>
      </c>
      <c r="O16" s="5">
        <f t="shared" ref="O16" si="47">IF(N16="A",5,IF(N16="B",4,IF(N16="C",2,1)))</f>
        <v>4</v>
      </c>
      <c r="P16" s="9" t="s">
        <v>2</v>
      </c>
      <c r="Q16" s="5">
        <f t="shared" ref="Q16" si="48">IF(P16="A",5,IF(P16="B",4,IF(P16="C",2,1)))</f>
        <v>4</v>
      </c>
      <c r="R16" s="9" t="s">
        <v>6</v>
      </c>
      <c r="S16" s="5">
        <f t="shared" ref="S16" si="49">IF(R16="A",5,IF(R16="B",4,IF(R16="C",2,1)))</f>
        <v>1</v>
      </c>
      <c r="T16" s="9" t="s">
        <v>4</v>
      </c>
      <c r="U16" s="5">
        <f t="shared" ref="U16" si="50">IF(T16="A",5,IF(T16="B",4,IF(T16="C",2,1)))</f>
        <v>2</v>
      </c>
      <c r="V16" s="9" t="s">
        <v>0</v>
      </c>
      <c r="W16" s="5">
        <f t="shared" ref="W16" si="51">IF(V16="A",5,IF(V16="B",4,IF(V16="C",2,1)))</f>
        <v>5</v>
      </c>
      <c r="X16" s="9" t="s">
        <v>4</v>
      </c>
      <c r="Y16" s="5">
        <f t="shared" ref="Y16" si="52">IF(X16="A",5,IF(X16="B",4,IF(X16="C",2,1)))</f>
        <v>2</v>
      </c>
      <c r="Z16" s="5" t="e">
        <f>IF(#REF!="A",5,IF(#REF!="B",4,IF(#REF!="C",2,1)))</f>
        <v>#REF!</v>
      </c>
      <c r="AA16" s="9" t="s">
        <v>4</v>
      </c>
      <c r="AB16" s="5">
        <f t="shared" ref="AB16" si="53">IF(AA16="A",5,IF(AA16="B",4,IF(AA16="C",2,1)))</f>
        <v>2</v>
      </c>
      <c r="AC16" s="9" t="s">
        <v>2</v>
      </c>
      <c r="AD16" s="5">
        <f t="shared" ref="AD16" si="54">IF(AC16="A",5,IF(AC16="B",4,IF(AC16="C",2,1)))</f>
        <v>4</v>
      </c>
      <c r="AE16" s="9" t="s">
        <v>2</v>
      </c>
      <c r="AF16" s="5">
        <f t="shared" ref="AF16" si="55">IF(AE16="A",5,IF(AE16="B",4,IF(AE16="C",2,1)))</f>
        <v>4</v>
      </c>
      <c r="AG16" s="9" t="s">
        <v>6</v>
      </c>
      <c r="AH16" s="9" t="s">
        <v>2</v>
      </c>
      <c r="AI16" s="9" t="s">
        <v>4</v>
      </c>
      <c r="AJ16" s="9" t="s">
        <v>4</v>
      </c>
      <c r="AK16" s="9" t="s">
        <v>4</v>
      </c>
      <c r="AL16" s="9" t="s">
        <v>4</v>
      </c>
      <c r="AM16" s="9" t="s">
        <v>2</v>
      </c>
      <c r="AN16" s="9"/>
    </row>
    <row r="17" spans="1:40" ht="240.75" thickBot="1" x14ac:dyDescent="0.25">
      <c r="A17" s="4" t="s">
        <v>36</v>
      </c>
      <c r="B17" s="3" t="s">
        <v>37</v>
      </c>
      <c r="C17" s="3" t="s">
        <v>38</v>
      </c>
      <c r="D17" s="3" t="s">
        <v>39</v>
      </c>
      <c r="E17" s="3" t="s">
        <v>40</v>
      </c>
      <c r="F17" s="9" t="s">
        <v>2</v>
      </c>
      <c r="G17" s="5">
        <f t="shared" si="0"/>
        <v>4</v>
      </c>
      <c r="H17" s="10" t="s">
        <v>4</v>
      </c>
      <c r="I17" s="10">
        <f t="shared" si="0"/>
        <v>2</v>
      </c>
      <c r="J17" s="10" t="s">
        <v>4</v>
      </c>
      <c r="K17" s="10">
        <f t="shared" ref="K17" si="56">IF(J17="A",5,IF(J17="B",4,IF(J17="C",2,1)))</f>
        <v>2</v>
      </c>
      <c r="L17" s="10" t="s">
        <v>4</v>
      </c>
      <c r="M17" s="10">
        <f t="shared" ref="M17" si="57">IF(L17="A",5,IF(L17="B",4,IF(L17="C",2,1)))</f>
        <v>2</v>
      </c>
      <c r="N17" s="10" t="s">
        <v>4</v>
      </c>
      <c r="O17" s="10">
        <f t="shared" ref="O17" si="58">IF(N17="A",5,IF(N17="B",4,IF(N17="C",2,1)))</f>
        <v>2</v>
      </c>
      <c r="P17" s="10" t="s">
        <v>4</v>
      </c>
      <c r="Q17" s="10">
        <f t="shared" ref="Q17" si="59">IF(P17="A",5,IF(P17="B",4,IF(P17="C",2,1)))</f>
        <v>2</v>
      </c>
      <c r="R17" s="10" t="s">
        <v>4</v>
      </c>
      <c r="S17" s="10">
        <f t="shared" ref="S17" si="60">IF(R17="A",5,IF(R17="B",4,IF(R17="C",2,1)))</f>
        <v>2</v>
      </c>
      <c r="T17" s="10" t="s">
        <v>4</v>
      </c>
      <c r="U17" s="10">
        <f t="shared" ref="U17" si="61">IF(T17="A",5,IF(T17="B",4,IF(T17="C",2,1)))</f>
        <v>2</v>
      </c>
      <c r="V17" s="10" t="s">
        <v>2</v>
      </c>
      <c r="W17" s="10">
        <f t="shared" ref="W17" si="62">IF(V17="A",5,IF(V17="B",4,IF(V17="C",2,1)))</f>
        <v>4</v>
      </c>
      <c r="X17" s="10" t="s">
        <v>4</v>
      </c>
      <c r="Y17" s="10">
        <f t="shared" ref="Y17" si="63">IF(X17="A",5,IF(X17="B",4,IF(X17="C",2,1)))</f>
        <v>2</v>
      </c>
      <c r="Z17" s="10" t="e">
        <f>IF(#REF!="A",5,IF(#REF!="B",4,IF(#REF!="C",2,1)))</f>
        <v>#REF!</v>
      </c>
      <c r="AA17" s="10" t="s">
        <v>4</v>
      </c>
      <c r="AB17" s="10">
        <f t="shared" ref="AB17" si="64">IF(AA17="A",5,IF(AA17="B",4,IF(AA17="C",2,1)))</f>
        <v>2</v>
      </c>
      <c r="AC17" s="10" t="s">
        <v>4</v>
      </c>
      <c r="AD17" s="10">
        <f t="shared" ref="AD17" si="65">IF(AC17="A",5,IF(AC17="B",4,IF(AC17="C",2,1)))</f>
        <v>2</v>
      </c>
      <c r="AE17" s="10" t="s">
        <v>2</v>
      </c>
      <c r="AF17" s="10">
        <f t="shared" ref="AF17" si="66">IF(AE17="A",5,IF(AE17="B",4,IF(AE17="C",2,1)))</f>
        <v>4</v>
      </c>
      <c r="AG17" s="10" t="s">
        <v>2</v>
      </c>
      <c r="AH17" s="10" t="s">
        <v>4</v>
      </c>
      <c r="AI17" s="10" t="s">
        <v>4</v>
      </c>
      <c r="AJ17" s="10" t="s">
        <v>4</v>
      </c>
      <c r="AK17" s="10" t="s">
        <v>4</v>
      </c>
      <c r="AL17" s="10" t="s">
        <v>4</v>
      </c>
      <c r="AM17" s="10" t="s">
        <v>4</v>
      </c>
      <c r="AN17" s="10"/>
    </row>
    <row r="18" spans="1:40" ht="31.5" customHeight="1" thickBot="1" x14ac:dyDescent="0.25">
      <c r="A18" s="4"/>
      <c r="B18" s="5"/>
      <c r="C18" s="5"/>
      <c r="D18" s="5"/>
      <c r="E18" s="6" t="s">
        <v>41</v>
      </c>
      <c r="F18" s="8" t="str">
        <f>IF(G18&gt;=4.6,"A",IF(G18&gt;=3.6,"B",IF(G18&gt;=1.6,"C","D")))</f>
        <v>B</v>
      </c>
      <c r="G18" s="5">
        <f>AVERAGE(G12:G17)</f>
        <v>4.5</v>
      </c>
      <c r="H18" s="8" t="str">
        <f>IF(I18&gt;=4.6,"A",IF(I18&gt;=3.6,"B",IF(I18&gt;=1.6,"C","D")))</f>
        <v>C</v>
      </c>
      <c r="I18" s="5">
        <f>AVERAGE(I12:I17)</f>
        <v>3.5</v>
      </c>
      <c r="J18" s="8" t="str">
        <f>IF(K18&gt;=4.6,"A",IF(K18&gt;=3.6,"B",IF(K18&gt;=1.6,"C","D")))</f>
        <v>C</v>
      </c>
      <c r="K18" s="5">
        <f>AVERAGE(K12:K17)</f>
        <v>3.1666666666666665</v>
      </c>
      <c r="L18" s="8" t="str">
        <f>IF(M18&gt;=4.6,"A",IF(M18&gt;=3.6,"B",IF(M18&gt;=1.6,"C","D")))</f>
        <v>C</v>
      </c>
      <c r="M18" s="5">
        <f>AVERAGE(M12:M17)</f>
        <v>2.6666666666666665</v>
      </c>
      <c r="N18" s="8" t="str">
        <f>IF(O18&gt;=4.6,"A",IF(O18&gt;=3.6,"B",IF(O18&gt;=1.6,"C","D")))</f>
        <v>C</v>
      </c>
      <c r="O18" s="5">
        <f>AVERAGE(O12:O17)</f>
        <v>3</v>
      </c>
      <c r="P18" s="8" t="str">
        <f>IF(Q18&gt;=4.6,"A",IF(Q18&gt;=3.6,"B",IF(Q18&gt;=1.6,"C","D")))</f>
        <v>C</v>
      </c>
      <c r="Q18" s="5">
        <f>AVERAGE(Q12:Q17)</f>
        <v>3.3333333333333335</v>
      </c>
      <c r="R18" s="8" t="str">
        <f>IF(S18&gt;=4.6,"A",IF(S18&gt;=3.6,"B",IF(S18&gt;=1.6,"C","D")))</f>
        <v>C</v>
      </c>
      <c r="S18" s="5">
        <f>AVERAGE(S12:S17)</f>
        <v>1.8333333333333333</v>
      </c>
      <c r="T18" s="8" t="str">
        <f>IF(U18&gt;=4.6,"A",IF(U18&gt;=3.6,"B",IF(U18&gt;=1.6,"C","D")))</f>
        <v>C</v>
      </c>
      <c r="U18" s="5">
        <f>AVERAGE(U12:U17)</f>
        <v>3.5</v>
      </c>
      <c r="V18" s="8" t="str">
        <f>IF(W18&gt;=4.6,"A",IF(W18&gt;=3.6,"B",IF(W18&gt;=1.6,"C","D")))</f>
        <v>B</v>
      </c>
      <c r="W18" s="5">
        <f>AVERAGE(W12:W17)</f>
        <v>4.333333333333333</v>
      </c>
      <c r="X18" s="8" t="str">
        <f>IF(Y18&gt;=4.6,"A",IF(Y18&gt;=3.6,"B",IF(Y18&gt;=1.6,"C","D")))</f>
        <v>C</v>
      </c>
      <c r="Y18" s="5">
        <f>AVERAGE(Y12:Y17)</f>
        <v>3.1666666666666665</v>
      </c>
      <c r="Z18" s="5" t="e">
        <f>AVERAGE(Z12:Z17)</f>
        <v>#REF!</v>
      </c>
      <c r="AA18" s="14" t="s">
        <v>2</v>
      </c>
      <c r="AB18" s="5">
        <f>AVERAGE(AB12:AB17)</f>
        <v>3.3333333333333335</v>
      </c>
      <c r="AC18" s="8" t="str">
        <f>X17</f>
        <v>C</v>
      </c>
      <c r="AD18" s="5">
        <f>AVERAGE(AD12:AD17)</f>
        <v>4</v>
      </c>
      <c r="AE18" s="8" t="str">
        <f>IF(AF18&gt;=4.6,"A",IF(AF18&gt;AJ18=3.6,"B",IF(AF18&gt;=1.6,"C","D")))</f>
        <v>C</v>
      </c>
      <c r="AF18" s="5">
        <f>AVERAGE(AF12:AF17)</f>
        <v>4.5</v>
      </c>
      <c r="AG18" s="8" t="s">
        <v>4</v>
      </c>
      <c r="AH18" s="8" t="s">
        <v>2</v>
      </c>
      <c r="AI18" s="8" t="s">
        <v>4</v>
      </c>
      <c r="AJ18" s="8" t="s">
        <v>4</v>
      </c>
      <c r="AK18" s="8" t="s">
        <v>2</v>
      </c>
      <c r="AL18" s="8" t="s">
        <v>4</v>
      </c>
      <c r="AM18" s="8" t="s">
        <v>2</v>
      </c>
      <c r="AN18" s="8" t="s">
        <v>43</v>
      </c>
    </row>
  </sheetData>
  <mergeCells count="26">
    <mergeCell ref="F1:F2"/>
    <mergeCell ref="A1:A2"/>
    <mergeCell ref="B1:B2"/>
    <mergeCell ref="C1:C2"/>
    <mergeCell ref="D1:D2"/>
    <mergeCell ref="E1:E2"/>
    <mergeCell ref="AH1:AH2"/>
    <mergeCell ref="H1:H2"/>
    <mergeCell ref="J1:J2"/>
    <mergeCell ref="L1:L2"/>
    <mergeCell ref="N1:N2"/>
    <mergeCell ref="P1:P2"/>
    <mergeCell ref="AA1:AA2"/>
    <mergeCell ref="AC1:AC2"/>
    <mergeCell ref="AE1:AE2"/>
    <mergeCell ref="AG1:AG2"/>
    <mergeCell ref="R1:R2"/>
    <mergeCell ref="T1:T2"/>
    <mergeCell ref="V1:V2"/>
    <mergeCell ref="X1:X2"/>
    <mergeCell ref="AL1:AL2"/>
    <mergeCell ref="AM1:AM2"/>
    <mergeCell ref="AN1:AN2"/>
    <mergeCell ref="AI1:AI2"/>
    <mergeCell ref="AJ1:AJ2"/>
    <mergeCell ref="AK1:AK2"/>
  </mergeCells>
  <dataValidations count="1">
    <dataValidation type="list" allowBlank="1" showInputMessage="1" showErrorMessage="1" sqref="F12:F17 H12:H17 J12:J17 L12:L17 N12:N17 P12:P17 R12:R17 T12:T17 V12:V17 X12:X17 AA12:AA17 AC12:AC17 AE12:AE17 AG12:AG17 AH12:AN17">
      <formula1>"A,B,C,D"</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8"/>
  <sheetViews>
    <sheetView workbookViewId="0">
      <pane xSplit="5" ySplit="6" topLeftCell="AF14" activePane="bottomRight" state="frozen"/>
      <selection pane="topRight" activeCell="F1" sqref="F1"/>
      <selection pane="bottomLeft" activeCell="A7" sqref="A7"/>
      <selection pane="bottomRight" activeCell="A15" sqref="A15"/>
    </sheetView>
  </sheetViews>
  <sheetFormatPr baseColWidth="10" defaultRowHeight="14.25" x14ac:dyDescent="0.2"/>
  <cols>
    <col min="1" max="1" width="26.5703125" style="2" customWidth="1"/>
    <col min="2" max="5" width="18.140625" style="2" customWidth="1"/>
    <col min="6" max="6" width="13.7109375" style="2" customWidth="1"/>
    <col min="7" max="7" width="13.7109375" style="2" hidden="1" customWidth="1"/>
    <col min="8" max="8" width="13.7109375" style="2" customWidth="1"/>
    <col min="9" max="9" width="13.7109375" style="2" hidden="1" customWidth="1"/>
    <col min="10" max="10" width="13.7109375" style="2" customWidth="1"/>
    <col min="11" max="11" width="13.7109375" style="2" hidden="1" customWidth="1"/>
    <col min="12" max="12" width="13.7109375" style="2" customWidth="1"/>
    <col min="13" max="13" width="13.7109375" style="2" hidden="1" customWidth="1"/>
    <col min="14" max="14" width="13.7109375" style="2" customWidth="1"/>
    <col min="15" max="15" width="13.7109375" style="2" hidden="1" customWidth="1"/>
    <col min="16" max="16" width="13.7109375" style="2" customWidth="1"/>
    <col min="17" max="17" width="13.7109375" style="2" hidden="1" customWidth="1"/>
    <col min="18" max="18" width="13.7109375" style="2" customWidth="1"/>
    <col min="19" max="19" width="13.7109375" style="2" hidden="1" customWidth="1"/>
    <col min="20" max="20" width="13.7109375" style="2" customWidth="1"/>
    <col min="21" max="21" width="13.7109375" style="2" hidden="1" customWidth="1"/>
    <col min="22" max="22" width="13.7109375" style="2" customWidth="1"/>
    <col min="23" max="23" width="13.7109375" style="2" hidden="1" customWidth="1"/>
    <col min="24" max="24" width="13.7109375" style="2" customWidth="1"/>
    <col min="25" max="25" width="13.7109375" style="2" hidden="1" customWidth="1"/>
    <col min="26" max="26" width="13.7109375" style="2" customWidth="1"/>
    <col min="27" max="27" width="13.7109375" style="2" hidden="1" customWidth="1"/>
    <col min="28" max="28" width="13.7109375" style="2" customWidth="1"/>
    <col min="29" max="29" width="13.7109375" style="2" hidden="1" customWidth="1"/>
    <col min="30" max="30" width="13.7109375" style="2" customWidth="1"/>
    <col min="31" max="31" width="13.7109375" style="2" hidden="1" customWidth="1"/>
    <col min="32" max="32" width="13.7109375" style="2" customWidth="1"/>
    <col min="33" max="33" width="13.7109375" style="2" hidden="1" customWidth="1"/>
    <col min="34" max="34" width="13.7109375" style="2" customWidth="1"/>
    <col min="35" max="35" width="3.42578125" style="2" hidden="1" customWidth="1"/>
    <col min="36" max="43" width="13.7109375" style="2" customWidth="1"/>
    <col min="44" max="16384" width="11.42578125" style="2"/>
  </cols>
  <sheetData>
    <row r="1" spans="1:45" x14ac:dyDescent="0.2">
      <c r="A1" s="33" t="s">
        <v>48</v>
      </c>
      <c r="B1" s="20"/>
      <c r="C1" s="20"/>
      <c r="D1" s="20"/>
      <c r="E1" s="20"/>
      <c r="F1" s="20"/>
      <c r="G1" s="21"/>
      <c r="H1" s="20"/>
      <c r="I1" s="21"/>
      <c r="J1" s="20"/>
      <c r="K1" s="21"/>
      <c r="L1" s="20"/>
      <c r="M1" s="21"/>
      <c r="N1" s="20"/>
      <c r="O1" s="21"/>
      <c r="P1" s="20"/>
      <c r="Q1" s="21"/>
      <c r="R1" s="20"/>
      <c r="S1" s="21"/>
      <c r="T1" s="20"/>
      <c r="U1" s="21"/>
      <c r="V1" s="20"/>
      <c r="W1" s="21"/>
      <c r="X1" s="20"/>
      <c r="Y1" s="21"/>
      <c r="Z1" s="20"/>
      <c r="AA1" s="21"/>
      <c r="AB1" s="20"/>
      <c r="AC1" s="21"/>
      <c r="AD1" s="20"/>
      <c r="AE1" s="21"/>
      <c r="AF1" s="20"/>
      <c r="AG1" s="21"/>
      <c r="AH1" s="20"/>
      <c r="AI1" s="21"/>
      <c r="AJ1" s="20"/>
      <c r="AK1" s="20"/>
      <c r="AL1" s="20"/>
      <c r="AM1" s="20"/>
      <c r="AN1" s="20"/>
      <c r="AO1" s="20"/>
      <c r="AP1" s="20"/>
      <c r="AQ1" s="20"/>
      <c r="AR1" s="21"/>
      <c r="AS1" s="21"/>
    </row>
    <row r="2" spans="1:45" x14ac:dyDescent="0.2">
      <c r="A2" s="33"/>
      <c r="B2" s="20"/>
      <c r="C2" s="20"/>
      <c r="D2" s="20"/>
      <c r="E2" s="20"/>
      <c r="F2" s="20"/>
      <c r="G2" s="21"/>
      <c r="H2" s="20"/>
      <c r="I2" s="21"/>
      <c r="J2" s="20"/>
      <c r="K2" s="21"/>
      <c r="L2" s="20"/>
      <c r="M2" s="21"/>
      <c r="N2" s="20"/>
      <c r="O2" s="21"/>
      <c r="P2" s="20"/>
      <c r="Q2" s="21"/>
      <c r="R2" s="20"/>
      <c r="S2" s="21"/>
      <c r="T2" s="20"/>
      <c r="U2" s="21"/>
      <c r="V2" s="20"/>
      <c r="W2" s="21"/>
      <c r="X2" s="20"/>
      <c r="Y2" s="21"/>
      <c r="Z2" s="20"/>
      <c r="AA2" s="21"/>
      <c r="AB2" s="20"/>
      <c r="AC2" s="21"/>
      <c r="AD2" s="20"/>
      <c r="AE2" s="21"/>
      <c r="AF2" s="20"/>
      <c r="AG2" s="21"/>
      <c r="AH2" s="20"/>
      <c r="AI2" s="21"/>
      <c r="AJ2" s="20"/>
      <c r="AK2" s="20"/>
      <c r="AL2" s="20"/>
      <c r="AM2" s="20"/>
      <c r="AN2" s="20"/>
      <c r="AO2" s="20"/>
      <c r="AP2" s="20"/>
      <c r="AQ2" s="20"/>
      <c r="AR2" s="21"/>
      <c r="AS2" s="21"/>
    </row>
    <row r="3" spans="1:45" ht="17.25" customHeight="1" x14ac:dyDescent="0.2">
      <c r="A3" s="22"/>
      <c r="B3" s="22"/>
      <c r="C3" s="22"/>
      <c r="D3" s="22"/>
      <c r="E3" s="22"/>
      <c r="F3" s="22"/>
      <c r="G3" s="21"/>
      <c r="H3" s="22"/>
      <c r="I3" s="21"/>
      <c r="J3" s="22"/>
      <c r="K3" s="21"/>
      <c r="L3" s="22"/>
      <c r="M3" s="21"/>
      <c r="N3" s="22"/>
      <c r="O3" s="21"/>
      <c r="P3" s="22"/>
      <c r="Q3" s="21"/>
      <c r="R3" s="22"/>
      <c r="S3" s="21"/>
      <c r="T3" s="22"/>
      <c r="U3" s="21"/>
      <c r="V3" s="22"/>
      <c r="W3" s="21"/>
      <c r="X3" s="22"/>
      <c r="Y3" s="21"/>
      <c r="Z3" s="22"/>
      <c r="AA3" s="21"/>
      <c r="AB3" s="22"/>
      <c r="AC3" s="21"/>
      <c r="AD3" s="22"/>
      <c r="AE3" s="21"/>
      <c r="AF3" s="22"/>
      <c r="AG3" s="21"/>
      <c r="AH3" s="22"/>
      <c r="AI3" s="21"/>
      <c r="AJ3" s="22"/>
      <c r="AK3" s="22"/>
      <c r="AL3" s="22"/>
      <c r="AM3" s="22"/>
      <c r="AN3" s="22"/>
      <c r="AO3" s="22"/>
      <c r="AP3" s="22"/>
      <c r="AQ3" s="22"/>
      <c r="AR3" s="21"/>
      <c r="AS3" s="21"/>
    </row>
    <row r="5" spans="1:45" s="11" customFormat="1" ht="22.5" x14ac:dyDescent="0.45">
      <c r="A5" s="11" t="s">
        <v>45</v>
      </c>
    </row>
    <row r="6" spans="1:45" s="1" customFormat="1" ht="19.5" thickBot="1" x14ac:dyDescent="0.45">
      <c r="A6" s="1" t="s">
        <v>47</v>
      </c>
      <c r="F6" s="15"/>
      <c r="G6" s="13"/>
      <c r="H6" s="13"/>
      <c r="I6" s="13"/>
      <c r="J6" s="13"/>
      <c r="K6" s="13"/>
      <c r="L6" s="16"/>
      <c r="M6" s="13"/>
      <c r="N6" s="13"/>
      <c r="O6" s="13"/>
      <c r="P6" s="13"/>
      <c r="Q6" s="13"/>
      <c r="R6" s="13"/>
      <c r="S6" s="13"/>
      <c r="T6" s="13"/>
      <c r="U6" s="13"/>
      <c r="V6" s="13"/>
      <c r="W6" s="13"/>
      <c r="X6" s="13"/>
      <c r="Y6" s="13"/>
      <c r="Z6" s="13"/>
      <c r="AA6" s="13"/>
      <c r="AB6" s="13"/>
      <c r="AC6" s="13"/>
      <c r="AD6" s="13"/>
      <c r="AE6" s="13"/>
      <c r="AF6" s="13"/>
      <c r="AG6" s="13"/>
      <c r="AH6" s="13"/>
      <c r="AJ6" s="13"/>
      <c r="AK6" s="13"/>
      <c r="AL6" s="13"/>
      <c r="AM6" s="13"/>
      <c r="AN6" s="13"/>
      <c r="AO6" s="13"/>
      <c r="AP6" s="13"/>
      <c r="AQ6" s="13"/>
    </row>
    <row r="7" spans="1:45" ht="19.5" thickBot="1" x14ac:dyDescent="0.45">
      <c r="A7" s="1" t="s">
        <v>9</v>
      </c>
      <c r="B7" s="12" t="s">
        <v>44</v>
      </c>
    </row>
    <row r="8" spans="1:45" ht="19.5" thickBot="1" x14ac:dyDescent="0.45">
      <c r="A8" s="1" t="s">
        <v>10</v>
      </c>
      <c r="B8" s="12" t="s">
        <v>42</v>
      </c>
    </row>
    <row r="9" spans="1:45" ht="15" thickBot="1" x14ac:dyDescent="0.25"/>
    <row r="10" spans="1:45" ht="18" customHeight="1" x14ac:dyDescent="0.2">
      <c r="A10" s="23" t="s">
        <v>11</v>
      </c>
      <c r="B10" s="23" t="s">
        <v>0</v>
      </c>
      <c r="C10" s="23" t="s">
        <v>2</v>
      </c>
      <c r="D10" s="23" t="s">
        <v>4</v>
      </c>
      <c r="E10" s="23" t="s">
        <v>6</v>
      </c>
      <c r="F10" s="23" t="s">
        <v>12</v>
      </c>
      <c r="G10" s="22" t="s">
        <v>8</v>
      </c>
      <c r="H10" s="26" t="s">
        <v>12</v>
      </c>
      <c r="I10" s="27" t="s">
        <v>8</v>
      </c>
      <c r="J10" s="27" t="s">
        <v>12</v>
      </c>
      <c r="K10" s="27" t="s">
        <v>8</v>
      </c>
      <c r="L10" s="27" t="s">
        <v>12</v>
      </c>
      <c r="M10" s="27" t="s">
        <v>8</v>
      </c>
      <c r="N10" s="27" t="s">
        <v>12</v>
      </c>
      <c r="O10" s="27" t="s">
        <v>8</v>
      </c>
      <c r="P10" s="27" t="s">
        <v>12</v>
      </c>
      <c r="Q10" s="27" t="s">
        <v>8</v>
      </c>
      <c r="R10" s="27" t="s">
        <v>12</v>
      </c>
      <c r="S10" s="27" t="s">
        <v>8</v>
      </c>
      <c r="T10" s="27" t="s">
        <v>12</v>
      </c>
      <c r="U10" s="27" t="s">
        <v>8</v>
      </c>
      <c r="V10" s="27" t="s">
        <v>12</v>
      </c>
      <c r="W10" s="27" t="s">
        <v>8</v>
      </c>
      <c r="X10" s="27" t="s">
        <v>12</v>
      </c>
      <c r="Y10" s="27" t="s">
        <v>8</v>
      </c>
      <c r="Z10" s="27" t="s">
        <v>12</v>
      </c>
      <c r="AA10" s="27" t="s">
        <v>8</v>
      </c>
      <c r="AB10" s="27" t="s">
        <v>12</v>
      </c>
      <c r="AC10" s="27" t="s">
        <v>8</v>
      </c>
      <c r="AD10" s="27" t="s">
        <v>12</v>
      </c>
      <c r="AE10" s="27" t="s">
        <v>8</v>
      </c>
      <c r="AF10" s="27" t="s">
        <v>12</v>
      </c>
      <c r="AG10" s="27" t="s">
        <v>8</v>
      </c>
      <c r="AH10" s="28" t="s">
        <v>12</v>
      </c>
      <c r="AI10" s="29" t="s">
        <v>8</v>
      </c>
      <c r="AJ10" s="28" t="s">
        <v>12</v>
      </c>
      <c r="AK10" s="28" t="s">
        <v>12</v>
      </c>
      <c r="AL10" s="28" t="s">
        <v>12</v>
      </c>
      <c r="AM10" s="28" t="s">
        <v>12</v>
      </c>
      <c r="AN10" s="28" t="s">
        <v>12</v>
      </c>
      <c r="AO10" s="28" t="s">
        <v>12</v>
      </c>
      <c r="AP10" s="28" t="s">
        <v>12</v>
      </c>
      <c r="AQ10" s="28" t="s">
        <v>12</v>
      </c>
      <c r="AR10" s="21"/>
      <c r="AS10" s="21"/>
    </row>
    <row r="11" spans="1:45" ht="15" thickBot="1" x14ac:dyDescent="0.25">
      <c r="A11" s="24"/>
      <c r="B11" s="24" t="s">
        <v>1</v>
      </c>
      <c r="C11" s="24" t="s">
        <v>3</v>
      </c>
      <c r="D11" s="24" t="s">
        <v>5</v>
      </c>
      <c r="E11" s="24" t="s">
        <v>7</v>
      </c>
      <c r="F11" s="24"/>
      <c r="G11" s="25"/>
      <c r="H11" s="30"/>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2"/>
      <c r="AI11" s="25"/>
      <c r="AJ11" s="32"/>
      <c r="AK11" s="32"/>
      <c r="AL11" s="32"/>
      <c r="AM11" s="32"/>
      <c r="AN11" s="32"/>
      <c r="AO11" s="32"/>
      <c r="AP11" s="32"/>
      <c r="AQ11" s="32"/>
      <c r="AR11" s="21"/>
      <c r="AS11" s="21"/>
    </row>
    <row r="12" spans="1:45" ht="375.75" thickTop="1" x14ac:dyDescent="0.2">
      <c r="A12" s="4" t="s">
        <v>26</v>
      </c>
      <c r="B12" s="3" t="s">
        <v>13</v>
      </c>
      <c r="C12" s="3" t="s">
        <v>14</v>
      </c>
      <c r="D12" s="3" t="s">
        <v>15</v>
      </c>
      <c r="E12" s="3" t="s">
        <v>16</v>
      </c>
      <c r="F12" s="9" t="s">
        <v>0</v>
      </c>
      <c r="G12" s="7">
        <f t="shared" ref="G12:I17" si="0">IF(F12="A",5,IF(F12="B",4,IF(F12="C",2,1)))</f>
        <v>5</v>
      </c>
      <c r="H12" s="9" t="s">
        <v>2</v>
      </c>
      <c r="I12" s="7">
        <f t="shared" si="0"/>
        <v>4</v>
      </c>
      <c r="J12" s="9" t="s">
        <v>4</v>
      </c>
      <c r="K12" s="7">
        <f t="shared" ref="K12:K17" si="1">IF(J12="A",5,IF(J12="B",4,IF(J12="C",2,1)))</f>
        <v>2</v>
      </c>
      <c r="L12" s="9"/>
      <c r="M12" s="7">
        <f t="shared" ref="M12:M17" si="2">IF(L12="A",5,IF(L12="B",4,IF(L12="C",2,1)))</f>
        <v>1</v>
      </c>
      <c r="N12" s="9" t="s">
        <v>2</v>
      </c>
      <c r="O12" s="7">
        <f t="shared" ref="O12:O17" si="3">IF(N12="A",5,IF(N12="B",4,IF(N12="C",2,1)))</f>
        <v>4</v>
      </c>
      <c r="P12" s="9" t="s">
        <v>2</v>
      </c>
      <c r="Q12" s="7">
        <f t="shared" ref="Q12:Q17" si="4">IF(P12="A",5,IF(P12="B",4,IF(P12="C",2,1)))</f>
        <v>4</v>
      </c>
      <c r="R12" s="9" t="s">
        <v>2</v>
      </c>
      <c r="S12" s="7">
        <f t="shared" ref="S12:S17" si="5">IF(R12="A",5,IF(R12="B",4,IF(R12="C",2,1)))</f>
        <v>4</v>
      </c>
      <c r="T12" s="9" t="s">
        <v>4</v>
      </c>
      <c r="U12" s="7">
        <f t="shared" ref="U12:U17" si="6">IF(T12="A",5,IF(T12="B",4,IF(T12="C",2,1)))</f>
        <v>2</v>
      </c>
      <c r="V12" s="9" t="s">
        <v>2</v>
      </c>
      <c r="W12" s="7">
        <f t="shared" ref="W12:W17" si="7">IF(V12="A",5,IF(V12="B",4,IF(V12="C",2,1)))</f>
        <v>4</v>
      </c>
      <c r="X12" s="9" t="s">
        <v>0</v>
      </c>
      <c r="Y12" s="7">
        <f t="shared" ref="Y12:Y17" si="8">IF(X12="A",5,IF(X12="B",4,IF(X12="C",2,1)))</f>
        <v>5</v>
      </c>
      <c r="Z12" s="9" t="s">
        <v>0</v>
      </c>
      <c r="AA12" s="7">
        <f t="shared" ref="AA12:AA17" si="9">IF(Z12="A",5,IF(Z12="B",4,IF(Z12="C",2,1)))</f>
        <v>5</v>
      </c>
      <c r="AB12" s="9" t="s">
        <v>0</v>
      </c>
      <c r="AC12" s="7">
        <f t="shared" ref="AC12:AC17" si="10">IF(AB12="A",5,IF(AB12="B",4,IF(AB12="C",2,1)))</f>
        <v>5</v>
      </c>
      <c r="AD12" s="9" t="s">
        <v>4</v>
      </c>
      <c r="AE12" s="7">
        <f t="shared" ref="AE12:AE17" si="11">IF(AD12="A",5,IF(AD12="B",4,IF(AD12="C",2,1)))</f>
        <v>2</v>
      </c>
      <c r="AF12" s="9" t="s">
        <v>0</v>
      </c>
      <c r="AG12" s="7">
        <f t="shared" ref="AG12:AG17" si="12">IF(AF12="A",5,IF(AF12="B",4,IF(AF12="C",2,1)))</f>
        <v>5</v>
      </c>
      <c r="AH12" s="9" t="s">
        <v>2</v>
      </c>
      <c r="AI12" s="7">
        <f t="shared" ref="AI12:AI17" si="13">IF(AH12="A",5,IF(AH12="B",4,IF(AH12="C",2,1)))</f>
        <v>4</v>
      </c>
      <c r="AJ12" s="9" t="s">
        <v>2</v>
      </c>
      <c r="AK12" s="9" t="s">
        <v>2</v>
      </c>
      <c r="AL12" s="9" t="s">
        <v>0</v>
      </c>
      <c r="AM12" s="9" t="s">
        <v>2</v>
      </c>
      <c r="AN12" s="9" t="s">
        <v>2</v>
      </c>
      <c r="AO12" s="9" t="s">
        <v>0</v>
      </c>
      <c r="AP12" s="9" t="s">
        <v>0</v>
      </c>
      <c r="AQ12" s="9" t="s">
        <v>0</v>
      </c>
    </row>
    <row r="13" spans="1:45" ht="270" x14ac:dyDescent="0.2">
      <c r="A13" s="4" t="s">
        <v>17</v>
      </c>
      <c r="B13" s="3" t="s">
        <v>18</v>
      </c>
      <c r="C13" s="3" t="s">
        <v>19</v>
      </c>
      <c r="D13" s="3" t="s">
        <v>20</v>
      </c>
      <c r="E13" s="3" t="s">
        <v>21</v>
      </c>
      <c r="F13" s="9" t="s">
        <v>0</v>
      </c>
      <c r="G13" s="5">
        <f t="shared" si="0"/>
        <v>5</v>
      </c>
      <c r="H13" s="10" t="s">
        <v>2</v>
      </c>
      <c r="I13" s="10">
        <f t="shared" si="0"/>
        <v>4</v>
      </c>
      <c r="J13" s="10" t="s">
        <v>4</v>
      </c>
      <c r="K13" s="10">
        <f t="shared" si="1"/>
        <v>2</v>
      </c>
      <c r="L13" s="10"/>
      <c r="M13" s="10">
        <f t="shared" si="2"/>
        <v>1</v>
      </c>
      <c r="N13" s="10" t="s">
        <v>4</v>
      </c>
      <c r="O13" s="10">
        <f t="shared" si="3"/>
        <v>2</v>
      </c>
      <c r="P13" s="10" t="s">
        <v>4</v>
      </c>
      <c r="Q13" s="10">
        <f t="shared" si="4"/>
        <v>2</v>
      </c>
      <c r="R13" s="10" t="s">
        <v>2</v>
      </c>
      <c r="S13" s="10">
        <f t="shared" si="5"/>
        <v>4</v>
      </c>
      <c r="T13" s="10" t="s">
        <v>4</v>
      </c>
      <c r="U13" s="10">
        <f t="shared" si="6"/>
        <v>2</v>
      </c>
      <c r="V13" s="10" t="s">
        <v>2</v>
      </c>
      <c r="W13" s="10">
        <f t="shared" si="7"/>
        <v>4</v>
      </c>
      <c r="X13" s="10" t="s">
        <v>0</v>
      </c>
      <c r="Y13" s="10">
        <f t="shared" si="8"/>
        <v>5</v>
      </c>
      <c r="Z13" s="10" t="s">
        <v>0</v>
      </c>
      <c r="AA13" s="10">
        <f t="shared" si="9"/>
        <v>5</v>
      </c>
      <c r="AB13" s="10" t="s">
        <v>0</v>
      </c>
      <c r="AC13" s="10">
        <f t="shared" si="10"/>
        <v>5</v>
      </c>
      <c r="AD13" s="10" t="s">
        <v>4</v>
      </c>
      <c r="AE13" s="10">
        <f t="shared" si="11"/>
        <v>2</v>
      </c>
      <c r="AF13" s="10" t="s">
        <v>0</v>
      </c>
      <c r="AG13" s="10">
        <f t="shared" si="12"/>
        <v>5</v>
      </c>
      <c r="AH13" s="10" t="s">
        <v>2</v>
      </c>
      <c r="AI13" s="5">
        <f t="shared" si="13"/>
        <v>4</v>
      </c>
      <c r="AJ13" s="10" t="s">
        <v>2</v>
      </c>
      <c r="AK13" s="10" t="s">
        <v>2</v>
      </c>
      <c r="AL13" s="10" t="s">
        <v>0</v>
      </c>
      <c r="AM13" s="10" t="s">
        <v>2</v>
      </c>
      <c r="AN13" s="10" t="s">
        <v>2</v>
      </c>
      <c r="AO13" s="10" t="s">
        <v>2</v>
      </c>
      <c r="AP13" s="10" t="s">
        <v>0</v>
      </c>
      <c r="AQ13" s="10" t="s">
        <v>0</v>
      </c>
    </row>
    <row r="14" spans="1:45" ht="60" x14ac:dyDescent="0.2">
      <c r="A14" s="4" t="s">
        <v>49</v>
      </c>
      <c r="B14" s="3" t="s">
        <v>22</v>
      </c>
      <c r="C14" s="3" t="s">
        <v>23</v>
      </c>
      <c r="D14" s="3" t="s">
        <v>24</v>
      </c>
      <c r="E14" s="3" t="s">
        <v>25</v>
      </c>
      <c r="F14" s="9" t="s">
        <v>0</v>
      </c>
      <c r="G14" s="5">
        <f t="shared" si="0"/>
        <v>5</v>
      </c>
      <c r="H14" s="9" t="s">
        <v>4</v>
      </c>
      <c r="I14" s="5">
        <f t="shared" si="0"/>
        <v>2</v>
      </c>
      <c r="J14" s="9" t="s">
        <v>4</v>
      </c>
      <c r="K14" s="5">
        <f t="shared" si="1"/>
        <v>2</v>
      </c>
      <c r="L14" s="9" t="s">
        <v>6</v>
      </c>
      <c r="M14" s="5">
        <f t="shared" si="2"/>
        <v>1</v>
      </c>
      <c r="N14" s="9" t="s">
        <v>4</v>
      </c>
      <c r="O14" s="5">
        <f t="shared" si="3"/>
        <v>2</v>
      </c>
      <c r="P14" s="9" t="s">
        <v>4</v>
      </c>
      <c r="Q14" s="5">
        <f t="shared" si="4"/>
        <v>2</v>
      </c>
      <c r="R14" s="9" t="s">
        <v>2</v>
      </c>
      <c r="S14" s="5">
        <f t="shared" si="5"/>
        <v>4</v>
      </c>
      <c r="T14" s="9" t="s">
        <v>4</v>
      </c>
      <c r="U14" s="5">
        <f t="shared" si="6"/>
        <v>2</v>
      </c>
      <c r="V14" s="9" t="s">
        <v>4</v>
      </c>
      <c r="W14" s="5">
        <f t="shared" si="7"/>
        <v>2</v>
      </c>
      <c r="X14" s="9" t="s">
        <v>2</v>
      </c>
      <c r="Y14" s="5">
        <f t="shared" si="8"/>
        <v>4</v>
      </c>
      <c r="Z14" s="9" t="s">
        <v>4</v>
      </c>
      <c r="AA14" s="5">
        <f t="shared" si="9"/>
        <v>2</v>
      </c>
      <c r="AB14" s="9" t="s">
        <v>2</v>
      </c>
      <c r="AC14" s="5">
        <f t="shared" si="10"/>
        <v>4</v>
      </c>
      <c r="AD14" s="9" t="s">
        <v>4</v>
      </c>
      <c r="AE14" s="5">
        <f t="shared" si="11"/>
        <v>2</v>
      </c>
      <c r="AF14" s="9" t="s">
        <v>0</v>
      </c>
      <c r="AG14" s="5">
        <f t="shared" si="12"/>
        <v>5</v>
      </c>
      <c r="AH14" s="9" t="s">
        <v>2</v>
      </c>
      <c r="AI14" s="5">
        <f t="shared" si="13"/>
        <v>4</v>
      </c>
      <c r="AJ14" s="9" t="s">
        <v>0</v>
      </c>
      <c r="AK14" s="9" t="s">
        <v>4</v>
      </c>
      <c r="AL14" s="9" t="s">
        <v>2</v>
      </c>
      <c r="AM14" s="9" t="s">
        <v>4</v>
      </c>
      <c r="AN14" s="9" t="s">
        <v>4</v>
      </c>
      <c r="AO14" s="9" t="s">
        <v>0</v>
      </c>
      <c r="AP14" s="9" t="s">
        <v>0</v>
      </c>
      <c r="AQ14" s="9" t="s">
        <v>0</v>
      </c>
    </row>
    <row r="15" spans="1:45" ht="315" x14ac:dyDescent="0.2">
      <c r="A15" s="4" t="s">
        <v>50</v>
      </c>
      <c r="B15" s="3" t="s">
        <v>27</v>
      </c>
      <c r="C15" s="3" t="s">
        <v>28</v>
      </c>
      <c r="D15" s="3" t="s">
        <v>29</v>
      </c>
      <c r="E15" s="3" t="s">
        <v>30</v>
      </c>
      <c r="F15" s="9" t="s">
        <v>0</v>
      </c>
      <c r="G15" s="5">
        <f t="shared" si="0"/>
        <v>5</v>
      </c>
      <c r="H15" s="10" t="s">
        <v>2</v>
      </c>
      <c r="I15" s="10">
        <f t="shared" si="0"/>
        <v>4</v>
      </c>
      <c r="J15" s="10" t="s">
        <v>4</v>
      </c>
      <c r="K15" s="10">
        <f t="shared" si="1"/>
        <v>2</v>
      </c>
      <c r="L15" s="10"/>
      <c r="M15" s="10">
        <f t="shared" si="2"/>
        <v>1</v>
      </c>
      <c r="N15" s="10" t="s">
        <v>4</v>
      </c>
      <c r="O15" s="10">
        <f t="shared" si="3"/>
        <v>2</v>
      </c>
      <c r="P15" s="10" t="s">
        <v>4</v>
      </c>
      <c r="Q15" s="10">
        <f t="shared" si="4"/>
        <v>2</v>
      </c>
      <c r="R15" s="10" t="s">
        <v>2</v>
      </c>
      <c r="S15" s="10">
        <f t="shared" si="5"/>
        <v>4</v>
      </c>
      <c r="T15" s="10" t="s">
        <v>4</v>
      </c>
      <c r="U15" s="10">
        <f t="shared" si="6"/>
        <v>2</v>
      </c>
      <c r="V15" s="10" t="s">
        <v>4</v>
      </c>
      <c r="W15" s="10">
        <f t="shared" si="7"/>
        <v>2</v>
      </c>
      <c r="X15" s="10" t="s">
        <v>0</v>
      </c>
      <c r="Y15" s="10">
        <f t="shared" si="8"/>
        <v>5</v>
      </c>
      <c r="Z15" s="10" t="s">
        <v>2</v>
      </c>
      <c r="AA15" s="10">
        <f t="shared" si="9"/>
        <v>4</v>
      </c>
      <c r="AB15" s="10" t="s">
        <v>2</v>
      </c>
      <c r="AC15" s="10">
        <f t="shared" si="10"/>
        <v>4</v>
      </c>
      <c r="AD15" s="10" t="s">
        <v>4</v>
      </c>
      <c r="AE15" s="10">
        <f t="shared" si="11"/>
        <v>2</v>
      </c>
      <c r="AF15" s="10" t="s">
        <v>0</v>
      </c>
      <c r="AG15" s="10">
        <f t="shared" si="12"/>
        <v>5</v>
      </c>
      <c r="AH15" s="10" t="s">
        <v>4</v>
      </c>
      <c r="AI15" s="5">
        <f t="shared" si="13"/>
        <v>2</v>
      </c>
      <c r="AJ15" s="10" t="s">
        <v>2</v>
      </c>
      <c r="AK15" s="10" t="s">
        <v>4</v>
      </c>
      <c r="AL15" s="10" t="s">
        <v>2</v>
      </c>
      <c r="AM15" s="10" t="s">
        <v>2</v>
      </c>
      <c r="AN15" s="10" t="s">
        <v>2</v>
      </c>
      <c r="AO15" s="10" t="s">
        <v>2</v>
      </c>
      <c r="AP15" s="10" t="s">
        <v>0</v>
      </c>
      <c r="AQ15" s="10" t="s">
        <v>0</v>
      </c>
    </row>
    <row r="16" spans="1:45" ht="135" x14ac:dyDescent="0.2">
      <c r="A16" s="4" t="s">
        <v>31</v>
      </c>
      <c r="B16" s="3" t="s">
        <v>32</v>
      </c>
      <c r="C16" s="3" t="s">
        <v>33</v>
      </c>
      <c r="D16" s="3" t="s">
        <v>34</v>
      </c>
      <c r="E16" s="3" t="s">
        <v>35</v>
      </c>
      <c r="F16" s="9" t="s">
        <v>2</v>
      </c>
      <c r="G16" s="5">
        <f t="shared" si="0"/>
        <v>4</v>
      </c>
      <c r="H16" s="9" t="s">
        <v>4</v>
      </c>
      <c r="I16" s="5">
        <f t="shared" si="0"/>
        <v>2</v>
      </c>
      <c r="J16" s="9" t="s">
        <v>4</v>
      </c>
      <c r="K16" s="5">
        <f t="shared" si="1"/>
        <v>2</v>
      </c>
      <c r="L16" s="9"/>
      <c r="M16" s="5">
        <f t="shared" si="2"/>
        <v>1</v>
      </c>
      <c r="N16" s="9" t="s">
        <v>4</v>
      </c>
      <c r="O16" s="5">
        <f t="shared" si="3"/>
        <v>2</v>
      </c>
      <c r="P16" s="9" t="s">
        <v>4</v>
      </c>
      <c r="Q16" s="5">
        <f t="shared" si="4"/>
        <v>2</v>
      </c>
      <c r="R16" s="9" t="s">
        <v>4</v>
      </c>
      <c r="S16" s="5">
        <f t="shared" si="5"/>
        <v>2</v>
      </c>
      <c r="T16" s="9" t="s">
        <v>6</v>
      </c>
      <c r="U16" s="5">
        <f t="shared" si="6"/>
        <v>1</v>
      </c>
      <c r="V16" s="9" t="s">
        <v>2</v>
      </c>
      <c r="W16" s="5">
        <f t="shared" si="7"/>
        <v>4</v>
      </c>
      <c r="X16" s="9" t="s">
        <v>2</v>
      </c>
      <c r="Y16" s="5">
        <f t="shared" si="8"/>
        <v>4</v>
      </c>
      <c r="Z16" s="9" t="s">
        <v>2</v>
      </c>
      <c r="AA16" s="5">
        <f t="shared" si="9"/>
        <v>4</v>
      </c>
      <c r="AB16" s="9" t="s">
        <v>2</v>
      </c>
      <c r="AC16" s="5">
        <f t="shared" si="10"/>
        <v>4</v>
      </c>
      <c r="AD16" s="9" t="s">
        <v>6</v>
      </c>
      <c r="AE16" s="5">
        <f t="shared" si="11"/>
        <v>1</v>
      </c>
      <c r="AF16" s="9" t="s">
        <v>0</v>
      </c>
      <c r="AG16" s="5">
        <f t="shared" si="12"/>
        <v>5</v>
      </c>
      <c r="AH16" s="9" t="s">
        <v>4</v>
      </c>
      <c r="AI16" s="5">
        <f t="shared" si="13"/>
        <v>2</v>
      </c>
      <c r="AJ16" s="9" t="s">
        <v>4</v>
      </c>
      <c r="AK16" s="9" t="s">
        <v>4</v>
      </c>
      <c r="AL16" s="9" t="s">
        <v>0</v>
      </c>
      <c r="AM16" s="9" t="s">
        <v>2</v>
      </c>
      <c r="AN16" s="9" t="s">
        <v>2</v>
      </c>
      <c r="AO16" s="9" t="s">
        <v>2</v>
      </c>
      <c r="AP16" s="9" t="s">
        <v>2</v>
      </c>
      <c r="AQ16" s="9" t="s">
        <v>2</v>
      </c>
    </row>
    <row r="17" spans="1:43" ht="240.75" thickBot="1" x14ac:dyDescent="0.25">
      <c r="A17" s="4" t="s">
        <v>36</v>
      </c>
      <c r="B17" s="3" t="s">
        <v>37</v>
      </c>
      <c r="C17" s="3" t="s">
        <v>38</v>
      </c>
      <c r="D17" s="3" t="s">
        <v>39</v>
      </c>
      <c r="E17" s="3" t="s">
        <v>40</v>
      </c>
      <c r="F17" s="9" t="s">
        <v>2</v>
      </c>
      <c r="G17" s="5">
        <f t="shared" si="0"/>
        <v>4</v>
      </c>
      <c r="H17" s="10" t="s">
        <v>2</v>
      </c>
      <c r="I17" s="10">
        <f t="shared" si="0"/>
        <v>4</v>
      </c>
      <c r="J17" s="10" t="s">
        <v>4</v>
      </c>
      <c r="K17" s="10">
        <f t="shared" si="1"/>
        <v>2</v>
      </c>
      <c r="L17" s="10"/>
      <c r="M17" s="10">
        <f t="shared" si="2"/>
        <v>1</v>
      </c>
      <c r="N17" s="10" t="s">
        <v>4</v>
      </c>
      <c r="O17" s="10">
        <f t="shared" si="3"/>
        <v>2</v>
      </c>
      <c r="P17" s="10" t="s">
        <v>4</v>
      </c>
      <c r="Q17" s="10">
        <f t="shared" si="4"/>
        <v>2</v>
      </c>
      <c r="R17" s="10" t="s">
        <v>4</v>
      </c>
      <c r="S17" s="10">
        <f t="shared" si="5"/>
        <v>2</v>
      </c>
      <c r="T17" s="10" t="s">
        <v>4</v>
      </c>
      <c r="U17" s="10">
        <f t="shared" si="6"/>
        <v>2</v>
      </c>
      <c r="V17" s="10" t="s">
        <v>4</v>
      </c>
      <c r="W17" s="10">
        <f t="shared" si="7"/>
        <v>2</v>
      </c>
      <c r="X17" s="10" t="s">
        <v>2</v>
      </c>
      <c r="Y17" s="10">
        <f t="shared" si="8"/>
        <v>4</v>
      </c>
      <c r="Z17" s="10" t="s">
        <v>4</v>
      </c>
      <c r="AA17" s="10">
        <f t="shared" si="9"/>
        <v>2</v>
      </c>
      <c r="AB17" s="10" t="s">
        <v>4</v>
      </c>
      <c r="AC17" s="10">
        <f t="shared" si="10"/>
        <v>2</v>
      </c>
      <c r="AD17" s="10" t="s">
        <v>4</v>
      </c>
      <c r="AE17" s="10">
        <f t="shared" si="11"/>
        <v>2</v>
      </c>
      <c r="AF17" s="10" t="s">
        <v>2</v>
      </c>
      <c r="AG17" s="10">
        <f t="shared" si="12"/>
        <v>4</v>
      </c>
      <c r="AH17" s="10" t="s">
        <v>4</v>
      </c>
      <c r="AI17" s="5">
        <f t="shared" si="13"/>
        <v>2</v>
      </c>
      <c r="AJ17" s="10" t="s">
        <v>2</v>
      </c>
      <c r="AK17" s="10" t="s">
        <v>4</v>
      </c>
      <c r="AL17" s="10" t="s">
        <v>2</v>
      </c>
      <c r="AM17" s="10" t="s">
        <v>2</v>
      </c>
      <c r="AN17" s="10" t="s">
        <v>2</v>
      </c>
      <c r="AO17" s="10" t="s">
        <v>2</v>
      </c>
      <c r="AP17" s="10" t="s">
        <v>0</v>
      </c>
      <c r="AQ17" s="10" t="s">
        <v>0</v>
      </c>
    </row>
    <row r="18" spans="1:43" ht="31.5" customHeight="1" thickBot="1" x14ac:dyDescent="0.25">
      <c r="A18" s="4"/>
      <c r="B18" s="5"/>
      <c r="C18" s="5"/>
      <c r="D18" s="5"/>
      <c r="E18" s="6" t="s">
        <v>41</v>
      </c>
      <c r="F18" s="8" t="s">
        <v>0</v>
      </c>
      <c r="G18" s="5">
        <f>AVERAGE(G12:G17)</f>
        <v>4.666666666666667</v>
      </c>
      <c r="H18" s="8" t="s">
        <v>2</v>
      </c>
      <c r="I18" s="5">
        <f>AVERAGE(I12:I17)</f>
        <v>3.3333333333333335</v>
      </c>
      <c r="J18" s="8" t="str">
        <f>IF(K18&gt;=4.6,"A",IF(K18&gt;=3.6,"B",IF(K18&gt;=1.6,"C","D")))</f>
        <v>C</v>
      </c>
      <c r="K18" s="5">
        <f>AVERAGE(K12:K17)</f>
        <v>2</v>
      </c>
      <c r="L18" s="8"/>
      <c r="M18" s="5">
        <f>AVERAGE(M12:M17)</f>
        <v>1</v>
      </c>
      <c r="N18" s="8" t="str">
        <f>IF(O18&gt;=4.6,"A",IF(O18&gt;=3.6,"B",IF(O18&gt;=1.6,"C","D")))</f>
        <v>C</v>
      </c>
      <c r="O18" s="5">
        <f>AVERAGE(O12:O17)</f>
        <v>2.3333333333333335</v>
      </c>
      <c r="P18" s="8" t="str">
        <f>IF(Q18&gt;=4.6,"A",IF(Q18&gt;=3.6,"B",IF(Q18&gt;=1.6,"C","D")))</f>
        <v>C</v>
      </c>
      <c r="Q18" s="5">
        <f>AVERAGE(Q12:Q17)</f>
        <v>2.3333333333333335</v>
      </c>
      <c r="R18" s="8" t="s">
        <v>2</v>
      </c>
      <c r="S18" s="5">
        <f>AVERAGE(S12:S17)</f>
        <v>3.3333333333333335</v>
      </c>
      <c r="T18" s="8" t="str">
        <f>IF(U18&gt;=4.6,"A",IF(U18&gt;=3.6,"B",IF(U18&gt;=1.6,"C","D")))</f>
        <v>C</v>
      </c>
      <c r="U18" s="5">
        <f>AVERAGE(U12:U17)</f>
        <v>1.8333333333333333</v>
      </c>
      <c r="V18" s="8" t="str">
        <f>IF(W18&gt;=4.6,"A",IF(W18&gt;=3.6,"B",IF(W18&gt;=1.6,"C","D")))</f>
        <v>C</v>
      </c>
      <c r="W18" s="5">
        <f>AVERAGE(W12:W17)</f>
        <v>3</v>
      </c>
      <c r="X18" s="8" t="str">
        <f>IF(Y18&gt;=4.6,"A",IF(Y18&gt;=3.6,"B",IF(Y18&gt;=1.6,"C","D")))</f>
        <v>B</v>
      </c>
      <c r="Y18" s="5">
        <f>AVERAGE(Y12:Y17)</f>
        <v>4.5</v>
      </c>
      <c r="Z18" s="8" t="str">
        <f>IF(AA18&gt;=4.6,"A",IF(AA18&gt;=3.6,"B",IF(AA18&gt;=1.6,"C","D")))</f>
        <v>B</v>
      </c>
      <c r="AA18" s="5">
        <f>AVERAGE(AA12:AA17)</f>
        <v>3.6666666666666665</v>
      </c>
      <c r="AB18" s="8" t="str">
        <f>IF(AC18&gt;=4.6,"A",IF(AC18&gt;=3.6,"B",IF(AC18&gt;=1.6,"C","D")))</f>
        <v>B</v>
      </c>
      <c r="AC18" s="5">
        <f>AVERAGE(AC12:AC17)</f>
        <v>4</v>
      </c>
      <c r="AD18" s="8" t="str">
        <f>IF(AE18&gt;=4.6,"A",IF(AE18&gt;=3.6,"B",IF(AE18&gt;=1.6,"C","D")))</f>
        <v>C</v>
      </c>
      <c r="AE18" s="5">
        <f>AVERAGE(AE12:AE17)</f>
        <v>1.8333333333333333</v>
      </c>
      <c r="AF18" s="8" t="str">
        <f>IF(AG18&gt;=4.6,"A",IF(AG18&gt;=3.6,"B",IF(AG18&gt;=1.6,"C","D")))</f>
        <v>A</v>
      </c>
      <c r="AG18" s="5">
        <f>AVERAGE(AG12:AG17)</f>
        <v>4.833333333333333</v>
      </c>
      <c r="AH18" s="8" t="s">
        <v>4</v>
      </c>
      <c r="AI18" s="5">
        <f>AVERAGE(AI12:AI17)</f>
        <v>3</v>
      </c>
      <c r="AJ18" s="8" t="s">
        <v>2</v>
      </c>
      <c r="AK18" s="8" t="s">
        <v>4</v>
      </c>
      <c r="AL18" s="8" t="s">
        <v>0</v>
      </c>
      <c r="AM18" s="8" t="s">
        <v>2</v>
      </c>
      <c r="AN18" s="8" t="s">
        <v>2</v>
      </c>
      <c r="AO18" s="8" t="s">
        <v>2</v>
      </c>
      <c r="AP18" s="8" t="str">
        <f t="shared" ref="AP18" si="14">IF(AQ18&gt;=4.6,"A",IF(AQ18&gt;=3.6,"B",IF(AQ18&gt;=1.6,"C","D")))</f>
        <v>A</v>
      </c>
      <c r="AQ18" s="8" t="s">
        <v>0</v>
      </c>
    </row>
  </sheetData>
  <mergeCells count="28">
    <mergeCell ref="F1:F2"/>
    <mergeCell ref="A1:A2"/>
    <mergeCell ref="B1:B2"/>
    <mergeCell ref="C1:C2"/>
    <mergeCell ref="D1:D2"/>
    <mergeCell ref="E1:E2"/>
    <mergeCell ref="AD1:AD2"/>
    <mergeCell ref="H1:H2"/>
    <mergeCell ref="J1:J2"/>
    <mergeCell ref="L1:L2"/>
    <mergeCell ref="N1:N2"/>
    <mergeCell ref="P1:P2"/>
    <mergeCell ref="R1:R2"/>
    <mergeCell ref="T1:T2"/>
    <mergeCell ref="V1:V2"/>
    <mergeCell ref="X1:X2"/>
    <mergeCell ref="Z1:Z2"/>
    <mergeCell ref="AB1:AB2"/>
    <mergeCell ref="AN1:AN2"/>
    <mergeCell ref="AO1:AO2"/>
    <mergeCell ref="AP1:AP2"/>
    <mergeCell ref="AQ1:AQ2"/>
    <mergeCell ref="AF1:AF2"/>
    <mergeCell ref="AH1:AH2"/>
    <mergeCell ref="AJ1:AJ2"/>
    <mergeCell ref="AK1:AK2"/>
    <mergeCell ref="AL1:AL2"/>
    <mergeCell ref="AM1:AM2"/>
  </mergeCells>
  <dataValidations count="1">
    <dataValidation type="list" allowBlank="1" showInputMessage="1" showErrorMessage="1" sqref="F12:F17 H12:H17 J12:J17 L12:L17 N12:N17 P12:P17 R12:R17 T12:T17 V12:V17 X12:X17 Z12:Z17 AB12:AB17 AD12:AD17 AF12:AF17 AH12:AH17 AJ12:AQ17">
      <formula1>"A,B,C,D"</formula1>
    </dataValidation>
  </dataValidations>
  <pageMargins left="0.7" right="0.7" top="0.75" bottom="0.75" header="0.3" footer="0.3"/>
  <pageSetup paperSize="9" orientation="portrait" r:id="rId1"/>
  <ignoredErrors>
    <ignoredError sqref="T18" formula="1"/>
  </ignoredErrors>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GU B2 (1)</vt:lpstr>
      <vt:lpstr>GU B2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PELTIER Stéfan</dc:creator>
  <cp:lastModifiedBy>sandrine</cp:lastModifiedBy>
  <dcterms:created xsi:type="dcterms:W3CDTF">2023-10-06T08:06:23Z</dcterms:created>
  <dcterms:modified xsi:type="dcterms:W3CDTF">2026-03-25T10:26:52Z</dcterms:modified>
</cp:coreProperties>
</file>